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firstSheet="0" activeTab="0"/>
  </bookViews>
  <sheets>
    <sheet sheetId="1" name="Read Me" state="visible" r:id="rId4"/>
    <sheet sheetId="2" name="Audit Summary" state="visible" r:id="rId5"/>
    <sheet sheetId="3" name="Action List" state="visible" r:id="rId6"/>
    <sheet sheetId="4" name="Inputs" state="visible" r:id="rId7"/>
    <sheet sheetId="5" name="CPI" state="visible" r:id="rId8"/>
    <sheet sheetId="6" name="Liability" state="visible" r:id="rId9"/>
    <sheet sheetId="7" name="Interest Walkthrough" state="visible" r:id="rId10"/>
    <sheet sheetId="8" name="ROU" state="visible" r:id="rId11"/>
    <sheet sheetId="9" name="Depreciation Walkthrough" state="visible" r:id="rId12"/>
    <sheet sheetId="10" name="Journal" state="visible" r:id="rId13"/>
    <sheet sheetId="11" name="PerMod_Reconciliations" state="visible" r:id="rId14"/>
    <sheet sheetId="12" name="Explain" state="visible" r:id="rId15"/>
    <sheet sheetId="13" name="Checks" state="visible" r:id="rId16"/>
    <sheet sheetId="14" name="Exceptions" state="visible" r:id="rId17"/>
    <sheet sheetId="15" name="Control Register" state="visible" r:id="rId18"/>
    <sheet sheetId="16" name="Control Evidence" state="visible" r:id="rId19"/>
    <sheet sheetId="17" name="Control Evidence Detail" state="visible" r:id="rId20"/>
    <sheet sheetId="18" name="Run Metadata" state="visible" r:id="rId21"/>
    <sheet sheetId="19" name="Modification Trace" state="visible" r:id="rId22"/>
    <sheet sheetId="20" name="CPI Event Trace" state="visible" r:id="rId23"/>
    <sheet sheetId="21" name="Disclaimer" state="visible" r:id="rId24"/>
  </sheets>
  <definedNames>
    <definedName name="_xlnm.Print_Titles" localSheetId="0">'Read Me'!$1:$1</definedName>
    <definedName name="_xlnm.Print_Titles" localSheetId="1">'Audit Summary'!$1:$1</definedName>
    <definedName name="_xlnm.Print_Titles" localSheetId="2">'Action List'!$8:$8</definedName>
    <definedName name="_xlnm.Print_Titles" localSheetId="3">'Inputs'!$1:$1</definedName>
    <definedName name="_xlnm.Print_Titles" localSheetId="4">'CPI'!$7:$7</definedName>
    <definedName name="_xlnm.Print_Titles" localSheetId="5">'Liability'!$2:$2</definedName>
    <definedName name="_xlnm.Print_Titles" localSheetId="6">'Interest Walkthrough'!$2:$2</definedName>
    <definedName name="_xlnm.Print_Titles" localSheetId="7">'ROU'!$2:$2</definedName>
    <definedName name="_xlnm.Print_Titles" localSheetId="8">'Depreciation Walkthrough'!$2:$2</definedName>
    <definedName name="_xlnm.Print_Titles" localSheetId="9">'Journal'!$2:$2</definedName>
    <definedName name="_xlnm.Print_Titles" localSheetId="10">'PerMod_Reconciliations'!$11:$11</definedName>
    <definedName name="_xlnm.Print_Titles" localSheetId="11">'Explain'!$8:$8</definedName>
    <definedName name="_xlnm.Print_Titles" localSheetId="12">'Checks'!$3:$3</definedName>
    <definedName name="_xlnm.Print_Titles" localSheetId="13">'Exceptions'!$3:$3</definedName>
    <definedName name="_xlnm.Print_Titles" localSheetId="14">'Control Register'!$3:$3</definedName>
    <definedName name="_xlnm.Print_Titles" localSheetId="15">'Control Evidence'!$3:$3</definedName>
    <definedName name="_xlnm.Print_Titles" localSheetId="16">'Control Evidence Detail'!$3:$3</definedName>
    <definedName name="_xlnm.Print_Titles" localSheetId="17">'Run Metadata'!$1:$1</definedName>
    <definedName name="_xlnm.Print_Titles" localSheetId="18">'Modification Trace'!$2:$2</definedName>
    <definedName name="_xlnm.Print_Titles" localSheetId="19">'CPI Event Trace'!$3:$3</definedName>
    <definedName name="_xlnm.Print_Titles" localSheetId="20">'Disclaimer'!$1:$1</definedName>
  </definedNames>
  <calcPr calcId="171027"/>
</workbook>
</file>

<file path=xl/sharedStrings.xml><?xml version="1.0" encoding="utf-8"?>
<sst xmlns="http://schemas.openxmlformats.org/spreadsheetml/2006/main" count="2464" uniqueCount="778">
  <si>
    <t>IFRS Connect Export Guide</t>
  </si>
  <si>
    <t/>
  </si>
  <si>
    <t>Open IFRS Connect (Landing page)</t>
  </si>
  <si>
    <t>Launch IFRS 16 calculator</t>
  </si>
  <si>
    <t>This workbook is the full calculation record of your lease: every balance, the journals behind it, the working shown period by period, and the deterministic checks that tie it all together. It provides the underlying figures for reporting; the statutory disclosure notes (for example the maturity analysis, the current and non-current split, and the IFRS 16.53 quantitative disclosures) are prepared separately from this calculation record.</t>
  </si>
  <si>
    <t>Lease name</t>
  </si>
  <si>
    <t>Example Entity Ltd - Head Office Lease</t>
  </si>
  <si>
    <t>Currency</t>
  </si>
  <si>
    <t>GBP (£)</t>
  </si>
  <si>
    <t>Export type</t>
  </si>
  <si>
    <t>All schedules</t>
  </si>
  <si>
    <t>Customer-facing run status</t>
  </si>
  <si>
    <t>Completed</t>
  </si>
  <si>
    <t>Technical certificate status</t>
  </si>
  <si>
    <t>READY_FOR_REPORTING</t>
  </si>
  <si>
    <t>Exported at</t>
  </si>
  <si>
    <t>2026-06-12T12:00:00.000Z</t>
  </si>
  <si>
    <t>Regression comparison</t>
  </si>
  <si>
    <t>Use the Deterministic content hash (SHA-256) in Run Metadata for stable workbook comparisons. Manifest hash (SHA-256) records the export package fingerprint including volatile timing fields.</t>
  </si>
  <si>
    <t>Contents</t>
  </si>
  <si>
    <t>Workbook tab</t>
  </si>
  <si>
    <t>Purpose</t>
  </si>
  <si>
    <t>Audience</t>
  </si>
  <si>
    <t>How to review this workbook quickly and where to go next.</t>
  </si>
  <si>
    <t>Preparer / reviewer</t>
  </si>
  <si>
    <t>Start here for the headline balances, tie-outs and run-level status.</t>
  </si>
  <si>
    <t>Reviewer / auditor</t>
  </si>
  <si>
    <t>Open this immediately after the summary to see the remaining user corrections and explicit review reasons.</t>
  </si>
  <si>
    <t>Source inputs and core engine assumptions used for this export.</t>
  </si>
  <si>
    <t>Indexation inputs, warnings and applied CPI handling.</t>
  </si>
  <si>
    <t>Lease liability amortisation and period-by-period movement.</t>
  </si>
  <si>
    <t>Bridge showing how each period's interest was derived and linked back to journal evidence.</t>
  </si>
  <si>
    <t>Right-of-use asset movement and depreciation profile.</t>
  </si>
  <si>
    <t>Bridge showing how each period's depreciation was derived and linked back to journal evidence.</t>
  </si>
  <si>
    <t>Balanced IFRS 16 journal postings including CPI remeasurement rows where applicable.</t>
  </si>
  <si>
    <t>Deterministic per-event evidence for contract modifications (IFRS 16.44-46): PV support, discount-rate audit, journal tie-out and CPI linkage for each applied modification. CPI-linked remeasurements and lease-term reassessments are evidenced on the CPI Event Trace sheet and the Inputs reassessment block.</t>
  </si>
  <si>
    <t>Plain-English reasons, rule summaries and trace links for each control outcome.</t>
  </si>
  <si>
    <t>Deterministic control outcomes and the final pass/fail control view.</t>
  </si>
  <si>
    <t>Open issues and skipped controls that need user follow-up.</t>
  </si>
  <si>
    <t>Control catalogue, exact deterministic rules, severity and evidence sources.</t>
  </si>
  <si>
    <t>Auditor / support</t>
  </si>
  <si>
    <t>Plain-English evidence pack for each control outcome.</t>
  </si>
  <si>
    <t>Metric-level support when you need the deepest technical evidence.</t>
  </si>
  <si>
    <t>Run certificate, hashes, counts and reproducibility metadata.</t>
  </si>
  <si>
    <t>Event-by-event modification audit trail showing applied rows, ignored rows and engine handling.</t>
  </si>
  <si>
    <t>Reviewer / auditor / support</t>
  </si>
  <si>
    <t>Event-by-event CPI audit trail from input through mapping.</t>
  </si>
  <si>
    <t>Use limitations and terms.</t>
  </si>
  <si>
    <t>Support</t>
  </si>
  <si>
    <t>Quick path for users</t>
  </si>
  <si>
    <t>1) Start with Audit Summary for the headline answer, key balances and overall run status.</t>
  </si>
  <si>
    <t>2) Open the Action List immediately to see every remaining user correction and every review item with its reason.</t>
  </si>
  <si>
    <t>3) Confirm Inputs and CPI before reviewing schedules if indexation affects this lease.</t>
  </si>
  <si>
    <t>4) Review Liability, ROU, Journal for the detailed movement tables.</t>
  </si>
  <si>
    <t>5) Use Interest Walkthrough and Depreciation Walkthrough when you need to see exactly how period interest and ROU depreciation were derived before opening the deeper control narrative.</t>
  </si>
  <si>
    <t>6) Open Explain for the control narrative, then check the Checks tab when you need confidence that the deterministic control layer passed.</t>
  </si>
  <si>
    <t>7) Use Exceptions for the issue log, then Control Evidence Detail only when deeper support is needed.</t>
  </si>
  <si>
    <t>If status is Completed With Signed-Off Review, the run's review items were acknowledged and signed off during the export workflow; retain this workbook with the sign-off record before final reporting.</t>
  </si>
  <si>
    <t>If status is Completed With Review Items, review the Action List and Exceptions and confirm each stated reason before final reporting.</t>
  </si>
  <si>
    <t>If status is Action Required, correct inputs or assumptions and re-run before relying on results.</t>
  </si>
  <si>
    <t>Information layers</t>
  </si>
  <si>
    <t>Summary</t>
  </si>
  <si>
    <t>Audit Summary and the status rows tell you the answer first.</t>
  </si>
  <si>
    <t>Explain</t>
  </si>
  <si>
    <t>Interest Walkthrough, Depreciation Walkthrough, Explain, Inputs, CPI Event Trace and PerMod_Reconciliations tell you why the result happened.</t>
  </si>
  <si>
    <t>Evidence</t>
  </si>
  <si>
    <t>PerMod_Reconciliations, Checks, Control Evidence, Control Evidence Detail, Run Metadata and CPI Event Trace support trust and traceability on demand.</t>
  </si>
  <si>
    <t>Action</t>
  </si>
  <si>
    <t>Action List and Exceptions tell you what needs user correction or explicit review next, if anything.</t>
  </si>
  <si>
    <t>Recommended flow</t>
  </si>
  <si>
    <t>Use the workbook in layers: answer first, explanation second, evidence on demand, action guidance when needed.</t>
  </si>
  <si>
    <t>Most users should finish Audit Summary and Action List first, then confirm Inputs/CPI and the main schedules before opening the deeper evidence tabs.</t>
  </si>
  <si>
    <t>Conventions and judgements</t>
  </si>
  <si>
    <t>Discount rate to monthly rate</t>
  </si>
  <si>
    <t>The annual discount rate is converted to an effective monthly rate using (1 + annual rate)^(1/12) - 1, so that twelve compounded months return the annual rate, and a monthly schedule is used for every payment frequency. IFRS 16 does not prescribe how to convert an annual rate to a shorter period; this annual-effective method is a deliberate, consistent policy choice and reproduces the published IFRS 16 worked examples.</t>
  </si>
  <si>
    <t>Part-month interest</t>
  </si>
  <si>
    <t>Where a period is shorter than a full month, for example either side of a mid-period change, interest accrues at a rate that compounds over the fraction of the month so the schedule still ties exactly to the discounted present value. A simpler day-count proration, which is what most other lease tools use, can differ by a few cents.</t>
  </si>
  <si>
    <t>In-arrears payment boundary</t>
  </si>
  <si>
    <t>Payments timed in arrears fall on the payment-period end date. A period that runs from the 15th to the 14th pays on the 14th.</t>
  </si>
  <si>
    <t>Terminal stub cash convention</t>
  </si>
  <si>
    <t>If the lease ends after the last full contractual payment boundary, the final stub still accrues schedule interest and ROU depreciation over its own period fraction, but carries no payment row.</t>
  </si>
  <si>
    <t>Liability remeasurement stub</t>
  </si>
  <si>
    <t>Modification and reassessment liability present values use a monthly rate and period month-fractions. If a terminal stub remains inside one unsplit month, that liability PV step treats the stub as one full month.</t>
  </si>
  <si>
    <t>Make-good provision stub</t>
  </si>
  <si>
    <t>Restoration remeasurement present values use calendar-month day fractions for unsplit partial months, so the same terminal stub can be day-fractioned here. The two steps therefore use different bases for a sub-month terminal stub, a full month for the liability and a day count for restoration. This is a deliberate, disclosed choice that only ever touches a fraction of one month, so the difference is very small.</t>
  </si>
  <si>
    <t>Restoration unwinding</t>
  </si>
  <si>
    <t>The ongoing restoration provision unwind follows the schedule period fractions rather than a separate general day-count convention applied everywhere in the workbook.</t>
  </si>
  <si>
    <t>CPI after revised payments</t>
  </si>
  <si>
    <t>Revised payments introduced by a supported modification stay on the live indexed stream by default. A later CPI event reprices the remaining non-zero payments by the ratio of the new index to the last active index.</t>
  </si>
  <si>
    <t>CPI application timing</t>
  </si>
  <si>
    <t>A CPI event is mapped to the schedule period that contains its effective date and the liability is remeasured at the opening of that period. The CPI remeasurement journal is dated on the payment-boundary date the event is snapped to for posting: this equals the CPI effective date when that date already falls on a payment boundary, and otherwise falls on the next boundary, so the journal date can differ from the effective date while month-end balances are unaffected.</t>
  </si>
  <si>
    <t>Recurring accrual journal dates</t>
  </si>
  <si>
    <t>Each period's recurring interest and depreciation accrual is journal-dated on the first day of the following period (the day after the period end it relates to); the final period's accrual is dated on its own period-end date. Amounts always tie to the schedules to the cent; only the posting date of a recurring accrual carries this day-after convention.</t>
  </si>
  <si>
    <t>Make-good settlement scope</t>
  </si>
  <si>
    <t>The restoration provision is carried to the full expected settlement amount at lease end. The later restoration cash settlement itself is outside this schedule and journal set.</t>
  </si>
  <si>
    <t>Date rendering</t>
  </si>
  <si>
    <t>Schedule and Journal date cells stay numeric so Excel renders them in the viewer's locale. Narrative dates are fixed during export using the workbook date order, and embedded trace JSON dates are serialised as ISO 8601.</t>
  </si>
  <si>
    <t>Sign convention</t>
  </si>
  <si>
    <t>Debit (DR) columns and Credit (CR) columns are shown as positive values in separate columns.</t>
  </si>
  <si>
    <t>Audit Summary</t>
  </si>
  <si>
    <t>Lease Liability (from schedule)</t>
  </si>
  <si>
    <t>Opening</t>
  </si>
  <si>
    <t>Total interest</t>
  </si>
  <si>
    <t>Total payments (applied to liability)</t>
  </si>
  <si>
    <t>CPI remeasurement (31.01.2027)</t>
  </si>
  <si>
    <t>CPI remeasurement (31.01.2028)</t>
  </si>
  <si>
    <t>CPI remeasurement (31.01.2029)</t>
  </si>
  <si>
    <t>Closing</t>
  </si>
  <si>
    <t>Initial recognition (from journals)</t>
  </si>
  <si>
    <t>Init CR Lease Liability</t>
  </si>
  <si>
    <t>Init DR ROU Asset</t>
  </si>
  <si>
    <t>Lease Liability (from journals, excluding Init Recog)</t>
  </si>
  <si>
    <t>Total DR Lease Liability</t>
  </si>
  <si>
    <t>Total CR Lease Liability</t>
  </si>
  <si>
    <t>Net movement (CR − DR)</t>
  </si>
  <si>
    <t>Tie-out difference (schedule − journals)</t>
  </si>
  <si>
    <t>ROU Asset (from schedule)</t>
  </si>
  <si>
    <t>Total depreciation</t>
  </si>
  <si>
    <t>ROU NBV movement (from journals, excluding Init Recog)</t>
  </si>
  <si>
    <t>DR ROU Asset (gross increases)</t>
  </si>
  <si>
    <t>CR ROU (gross decreases)</t>
  </si>
  <si>
    <t>CR Acc Dep (NBV decreases)</t>
  </si>
  <si>
    <t>Net movement in NBV</t>
  </si>
  <si>
    <t>Depreciation tie-out</t>
  </si>
  <si>
    <t>Total depreciation (schedule)</t>
  </si>
  <si>
    <t>Total DR Depr (journals)</t>
  </si>
  <si>
    <t>Total CR Acc Dep (journals)</t>
  </si>
  <si>
    <t>Difference (journals DR Depr − schedule)</t>
  </si>
  <si>
    <t>Gain on ROU (P&amp;L)</t>
  </si>
  <si>
    <t>Action List</t>
  </si>
  <si>
    <t>Export UTC</t>
  </si>
  <si>
    <t>Action ID</t>
  </si>
  <si>
    <t>Reference</t>
  </si>
  <si>
    <t>Status</t>
  </si>
  <si>
    <t>Why review is needed</t>
  </si>
  <si>
    <t>Suggested next step</t>
  </si>
  <si>
    <t>Source tab</t>
  </si>
  <si>
    <t>NONE</t>
  </si>
  <si>
    <t>Closed</t>
  </si>
  <si>
    <t>No open user corrections or explicit review items were identified by the automated checks in this export.</t>
  </si>
  <si>
    <t>Proceed with the normal workbook review flow and rely on the summary tabs as needed.</t>
  </si>
  <si>
    <t>Exceptions</t>
  </si>
  <si>
    <t>Inputs &amp; Assumptions</t>
  </si>
  <si>
    <t>Start date</t>
  </si>
  <si>
    <t>End date</t>
  </si>
  <si>
    <t>Payment amount</t>
  </si>
  <si>
    <t>Payment frequency</t>
  </si>
  <si>
    <t>Monthly</t>
  </si>
  <si>
    <t>Payment timing</t>
  </si>
  <si>
    <t>In arrears</t>
  </si>
  <si>
    <t>Discount rate (annual)</t>
  </si>
  <si>
    <t>Derived (from engine)</t>
  </si>
  <si>
    <t>Lease term (months)</t>
  </si>
  <si>
    <t>Initial lease liability</t>
  </si>
  <si>
    <t>Monthly rate</t>
  </si>
  <si>
    <t>Lease incentive</t>
  </si>
  <si>
    <t>Lease incentive amount</t>
  </si>
  <si>
    <t>Lease incentive received by commencement</t>
  </si>
  <si>
    <t>Yes</t>
  </si>
  <si>
    <t>Lease incentive receipt date</t>
  </si>
  <si>
    <t>Lease incentive status</t>
  </si>
  <si>
    <t>None</t>
  </si>
  <si>
    <t>Initial direct costs</t>
  </si>
  <si>
    <t>Initial direct costs status</t>
  </si>
  <si>
    <t>Applied</t>
  </si>
  <si>
    <t>Rent-free period</t>
  </si>
  <si>
    <t>Rent-free months from commencement</t>
  </si>
  <si>
    <t>Rent-free payment suppression count</t>
  </si>
  <si>
    <t>Rent-free cutoff date</t>
  </si>
  <si>
    <t>Restoration / make-good</t>
  </si>
  <si>
    <t>Restoration / make-good amount</t>
  </si>
  <si>
    <t>Restoration payable at end of lease</t>
  </si>
  <si>
    <t>Restoration provision present value</t>
  </si>
  <si>
    <t>Restoration upfront cost</t>
  </si>
  <si>
    <t>Restoration status</t>
  </si>
  <si>
    <t>CPI / indexation events</t>
  </si>
  <si>
    <t>CPI event 1</t>
  </si>
  <si>
    <t>31.01.2027: index/rate 104</t>
  </si>
  <si>
    <t>CPI event 2</t>
  </si>
  <si>
    <t>31.01.2028: index/rate 107.2</t>
  </si>
  <si>
    <t>CPI event 3</t>
  </si>
  <si>
    <t>31.01.2029: index/rate 110.5</t>
  </si>
  <si>
    <t>CPI events applied</t>
  </si>
  <si>
    <t>CPI treatment</t>
  </si>
  <si>
    <t>Index-linked rent is remeasured only when the index actually changes. The CPI remeasurement itself does not change the discount rate (IFRS 16.42(b)/16.43): it uses the original commencement rate, unless a lease modification has since reset the rate, in which case the revised rate applies from the modification date (IFRS 16.37). See the CPI and CPI Event Trace tabs for the event-by-event mapping and any date snapping.</t>
  </si>
  <si>
    <t>CPI / Indexation Events</t>
  </si>
  <si>
    <t>Engine timing metadata</t>
  </si>
  <si>
    <t>CPI date mode</t>
  </si>
  <si>
    <t>snap</t>
  </si>
  <si>
    <t>Raw events (as provided)</t>
  </si>
  <si>
    <t>Effective date</t>
  </si>
  <si>
    <t>Index</t>
  </si>
  <si>
    <t>Normalised events (as applied)</t>
  </si>
  <si>
    <t>Applied events (used by engine)</t>
  </si>
  <si>
    <t>Applied effective date</t>
  </si>
  <si>
    <t>Liability</t>
  </si>
  <si>
    <t>Period</t>
  </si>
  <si>
    <t>Period Start</t>
  </si>
  <si>
    <t>Period End</t>
  </si>
  <si>
    <t>Payment Date</t>
  </si>
  <si>
    <t>Interest</t>
  </si>
  <si>
    <t>Payment</t>
  </si>
  <si>
    <t>Principal</t>
  </si>
  <si>
    <t>Interest Walkthrough</t>
  </si>
  <si>
    <t>Timing Basis</t>
  </si>
  <si>
    <t>Opening Balance</t>
  </si>
  <si>
    <t>Opening Adjustment</t>
  </si>
  <si>
    <t>Adjustment Event</t>
  </si>
  <si>
    <t>Payment Used</t>
  </si>
  <si>
    <t>Interest Base</t>
  </si>
  <si>
    <t>Monthly Rate</t>
  </si>
  <si>
    <t>Period Fraction</t>
  </si>
  <si>
    <t>Effective Periodic Rate</t>
  </si>
  <si>
    <t>Expected Interest</t>
  </si>
  <si>
    <t>Schedule Interest</t>
  </si>
  <si>
    <t>Interest Diff</t>
  </si>
  <si>
    <t>Expected Closing</t>
  </si>
  <si>
    <t>Schedule Closing</t>
  </si>
  <si>
    <t>Closing Diff</t>
  </si>
  <si>
    <t>Interest Journal Ref</t>
  </si>
  <si>
    <t>Payment Journal Ref</t>
  </si>
  <si>
    <t>Walkthrough Note</t>
  </si>
  <si>
    <t>Opening balance</t>
  </si>
  <si>
    <t>P1 Period Accrual</t>
  </si>
  <si>
    <t>Opening balance comes from commencement recognition. No payment falls in this period, so interest accrues on the opening balance.</t>
  </si>
  <si>
    <t>P2 Period Accrual</t>
  </si>
  <si>
    <t>No payment falls in this period, so interest accrues on the opening balance.</t>
  </si>
  <si>
    <t>P3 Period Accrual</t>
  </si>
  <si>
    <t>P3 Lease Payment</t>
  </si>
  <si>
    <t>Interest is added for the period before the payment comes off.</t>
  </si>
  <si>
    <t>P4 Period Accrual</t>
  </si>
  <si>
    <t>P4 Lease Payment</t>
  </si>
  <si>
    <t>P5 Period Accrual</t>
  </si>
  <si>
    <t>P5 Lease Payment</t>
  </si>
  <si>
    <t>P6 Period Accrual</t>
  </si>
  <si>
    <t>P6 Lease Payment</t>
  </si>
  <si>
    <t>P7 Period Accrual</t>
  </si>
  <si>
    <t>P7 Lease Payment</t>
  </si>
  <si>
    <t>P8 Period Accrual</t>
  </si>
  <si>
    <t>P8 Lease Payment</t>
  </si>
  <si>
    <t>P9 Period Accrual</t>
  </si>
  <si>
    <t>P9 Lease Payment</t>
  </si>
  <si>
    <t>P10 Period Accrual</t>
  </si>
  <si>
    <t>P10 Lease Payment</t>
  </si>
  <si>
    <t>P11 Period Accrual</t>
  </si>
  <si>
    <t>P11 Lease Payment</t>
  </si>
  <si>
    <t>P12 Period Accrual</t>
  </si>
  <si>
    <t>P12 Lease Payment</t>
  </si>
  <si>
    <t>CPI remeasurement (index 104). See CPI Event Trace</t>
  </si>
  <si>
    <t>P13 Period Accrual</t>
  </si>
  <si>
    <t>P13 Lease Payment</t>
  </si>
  <si>
    <t>Opening adjusted by 20,502.11 from the prior closing due to CPI remeasurement (index 104). Interest is added for the period before the payment comes off.</t>
  </si>
  <si>
    <t>P14 Period Accrual</t>
  </si>
  <si>
    <t>P14 Lease Payment</t>
  </si>
  <si>
    <t>P15 Period Accrual</t>
  </si>
  <si>
    <t>P15 Lease Payment</t>
  </si>
  <si>
    <t>P16 Period Accrual</t>
  </si>
  <si>
    <t>P16 Lease Payment</t>
  </si>
  <si>
    <t>P17 Period Accrual</t>
  </si>
  <si>
    <t>P17 Lease Payment</t>
  </si>
  <si>
    <t>P18 Period Accrual</t>
  </si>
  <si>
    <t>P18 Lease Payment</t>
  </si>
  <si>
    <t>P19 Period Accrual</t>
  </si>
  <si>
    <t>P19 Lease Payment</t>
  </si>
  <si>
    <t>P20 Period Accrual</t>
  </si>
  <si>
    <t>P20 Lease Payment</t>
  </si>
  <si>
    <t>P21 Period Accrual</t>
  </si>
  <si>
    <t>P21 Lease Payment</t>
  </si>
  <si>
    <t>P22 Period Accrual</t>
  </si>
  <si>
    <t>P22 Lease Payment</t>
  </si>
  <si>
    <t>P23 Period Accrual</t>
  </si>
  <si>
    <t>P23 Lease Payment</t>
  </si>
  <si>
    <t>P24 Period Accrual</t>
  </si>
  <si>
    <t>P24 Lease Payment</t>
  </si>
  <si>
    <t>CPI remeasurement (index 107.2). See CPI Event Trace</t>
  </si>
  <si>
    <t>P25 Period Accrual</t>
  </si>
  <si>
    <t>P25 Lease Payment</t>
  </si>
  <si>
    <t>Opening adjusted by 12,652.40 from the prior closing due to CPI remeasurement (index 107.2). Interest is added for the period before the payment comes off.</t>
  </si>
  <si>
    <t>P26 Period Accrual</t>
  </si>
  <si>
    <t>P26 Lease Payment</t>
  </si>
  <si>
    <t>P27 Period Accrual</t>
  </si>
  <si>
    <t>P27 Lease Payment</t>
  </si>
  <si>
    <t>P28 Period Accrual</t>
  </si>
  <si>
    <t>P28 Lease Payment</t>
  </si>
  <si>
    <t>P29 Period Accrual</t>
  </si>
  <si>
    <t>P29 Lease Payment</t>
  </si>
  <si>
    <t>P30 Period Accrual</t>
  </si>
  <si>
    <t>P30 Lease Payment</t>
  </si>
  <si>
    <t>P31 Period Accrual</t>
  </si>
  <si>
    <t>P31 Lease Payment</t>
  </si>
  <si>
    <t>P32 Period Accrual</t>
  </si>
  <si>
    <t>P32 Lease Payment</t>
  </si>
  <si>
    <t>P33 Period Accrual</t>
  </si>
  <si>
    <t>P33 Lease Payment</t>
  </si>
  <si>
    <t>P34 Period Accrual</t>
  </si>
  <si>
    <t>P34 Lease Payment</t>
  </si>
  <si>
    <t>P35 Period Accrual</t>
  </si>
  <si>
    <t>P35 Lease Payment</t>
  </si>
  <si>
    <t>P36 Period Accrual</t>
  </si>
  <si>
    <t>P36 Lease Payment</t>
  </si>
  <si>
    <t>CPI remeasurement (index 110.5). See CPI Event Trace</t>
  </si>
  <si>
    <t>P37 Period Accrual</t>
  </si>
  <si>
    <t>P37 Lease Payment</t>
  </si>
  <si>
    <t>Opening adjusted by 8,949.35 from the prior closing due to CPI remeasurement (index 110.5). Interest is added for the period before the payment comes off.</t>
  </si>
  <si>
    <t>P38 Period Accrual</t>
  </si>
  <si>
    <t>P38 Lease Payment</t>
  </si>
  <si>
    <t>P39 Period Accrual</t>
  </si>
  <si>
    <t>P39 Lease Payment</t>
  </si>
  <si>
    <t>P40 Period Accrual</t>
  </si>
  <si>
    <t>P40 Lease Payment</t>
  </si>
  <si>
    <t>P41 Period Accrual</t>
  </si>
  <si>
    <t>P41 Lease Payment</t>
  </si>
  <si>
    <t>P42 Period Accrual</t>
  </si>
  <si>
    <t>P42 Lease Payment</t>
  </si>
  <si>
    <t>P43 Period Accrual</t>
  </si>
  <si>
    <t>P43 Lease Payment</t>
  </si>
  <si>
    <t>P44 Period Accrual</t>
  </si>
  <si>
    <t>P44 Lease Payment</t>
  </si>
  <si>
    <t>P45 Period Accrual</t>
  </si>
  <si>
    <t>P45 Lease Payment</t>
  </si>
  <si>
    <t>P46 Period Accrual</t>
  </si>
  <si>
    <t>P46 Lease Payment</t>
  </si>
  <si>
    <t>P47 Period Accrual</t>
  </si>
  <si>
    <t>P47 Lease Payment</t>
  </si>
  <si>
    <t>P48 Period Accrual</t>
  </si>
  <si>
    <t>P48 Lease Payment</t>
  </si>
  <si>
    <t>P49 Period Accrual</t>
  </si>
  <si>
    <t>P49 Lease Payment</t>
  </si>
  <si>
    <t>P50 Period Accrual</t>
  </si>
  <si>
    <t>P50 Lease Payment</t>
  </si>
  <si>
    <t>P51 Period Accrual</t>
  </si>
  <si>
    <t>P51 Lease Payment</t>
  </si>
  <si>
    <t>P52 Period Accrual</t>
  </si>
  <si>
    <t>P52 Lease Payment</t>
  </si>
  <si>
    <t>P53 Period Accrual</t>
  </si>
  <si>
    <t>P53 Lease Payment</t>
  </si>
  <si>
    <t>P54 Period Accrual</t>
  </si>
  <si>
    <t>P54 Lease Payment</t>
  </si>
  <si>
    <t>P55 Period Accrual</t>
  </si>
  <si>
    <t>P55 Lease Payment</t>
  </si>
  <si>
    <t>P56 Period Accrual</t>
  </si>
  <si>
    <t>P56 Lease Payment</t>
  </si>
  <si>
    <t>P57 Period Accrual</t>
  </si>
  <si>
    <t>P57 Lease Payment</t>
  </si>
  <si>
    <t>P58 Period Accrual</t>
  </si>
  <si>
    <t>P58 Lease Payment</t>
  </si>
  <si>
    <t>P59 Period Accrual</t>
  </si>
  <si>
    <t>P59 Lease Payment</t>
  </si>
  <si>
    <t>P60 Period Accrual</t>
  </si>
  <si>
    <t>P60 Lease Payment</t>
  </si>
  <si>
    <t>ROU</t>
  </si>
  <si>
    <t>Date</t>
  </si>
  <si>
    <t>Opening ROU</t>
  </si>
  <si>
    <t>Depreciation</t>
  </si>
  <si>
    <t>Closing ROU</t>
  </si>
  <si>
    <t>Depreciation Walkthrough</t>
  </si>
  <si>
    <t>Remaining Frame</t>
  </si>
  <si>
    <t>Monthly Depreciation</t>
  </si>
  <si>
    <t>Expected Depreciation</t>
  </si>
  <si>
    <t>Schedule Depreciation</t>
  </si>
  <si>
    <t>Depreciation Diff</t>
  </si>
  <si>
    <t>Expected Closing ROU</t>
  </si>
  <si>
    <t>Schedule Closing ROU</t>
  </si>
  <si>
    <t>Depreciation Journal Ref</t>
  </si>
  <si>
    <t>Opening ROU comes from commencement recognition. Straight-line depreciation spreads the opening balance evenly over the 60 remaining months, using period fraction 1.</t>
  </si>
  <si>
    <t>Straight-line depreciation spreads the opening balance evenly over the 59 remaining months, using period fraction 1.</t>
  </si>
  <si>
    <t>Straight-line depreciation spreads the opening balance evenly over the 58 remaining months, using period fraction 1.</t>
  </si>
  <si>
    <t>Straight-line depreciation spreads the opening balance evenly over the 57 remaining months, using period fraction 1.</t>
  </si>
  <si>
    <t>Straight-line depreciation spreads the opening balance evenly over the 56 remaining months, using period fraction 1.</t>
  </si>
  <si>
    <t>Straight-line depreciation spreads the opening balance evenly over the 55 remaining months, using period fraction 1.</t>
  </si>
  <si>
    <t>Straight-line depreciation spreads the opening balance evenly over the 54 remaining months, using period fraction 1.</t>
  </si>
  <si>
    <t>Straight-line depreciation spreads the opening balance evenly over the 53 remaining months, using period fraction 1.</t>
  </si>
  <si>
    <t>Straight-line depreciation spreads the opening balance evenly over the 52 remaining months, using period fraction 1.</t>
  </si>
  <si>
    <t>Straight-line depreciation spreads the opening balance evenly over the 51 remaining months, using period fraction 1.</t>
  </si>
  <si>
    <t>Straight-line depreciation spreads the opening balance evenly over the 50 remaining months, using period fraction 1.</t>
  </si>
  <si>
    <t>Straight-line depreciation spreads the opening balance evenly over the 49 remaining months, using period fraction 1.</t>
  </si>
  <si>
    <t>Opening adjusted by 20,502.11 from the prior closing due to CPI remeasurement (index 104). Straight-line depreciation spreads the opening balance evenly over the 48 remaining months, using period fraction 1.</t>
  </si>
  <si>
    <t>Straight-line depreciation spreads the opening balance evenly over the 47 remaining months, using period fraction 1.</t>
  </si>
  <si>
    <t>Straight-line depreciation spreads the opening balance evenly over the 46 remaining months, using period fraction 1.</t>
  </si>
  <si>
    <t>Straight-line depreciation spreads the opening balance evenly over the 45 remaining months, using period fraction 1.</t>
  </si>
  <si>
    <t>Straight-line depreciation spreads the opening balance evenly over the 44 remaining months, using period fraction 1.</t>
  </si>
  <si>
    <t>Straight-line depreciation spreads the opening balance evenly over the 43 remaining months, using period fraction 1.</t>
  </si>
  <si>
    <t>Straight-line depreciation spreads the opening balance evenly over the 42 remaining months, using period fraction 1.</t>
  </si>
  <si>
    <t>Straight-line depreciation spreads the opening balance evenly over the 41 remaining months, using period fraction 1.</t>
  </si>
  <si>
    <t>Straight-line depreciation spreads the opening balance evenly over the 40 remaining months, using period fraction 1.</t>
  </si>
  <si>
    <t>Straight-line depreciation spreads the opening balance evenly over the 39 remaining months, using period fraction 1.</t>
  </si>
  <si>
    <t>Straight-line depreciation spreads the opening balance evenly over the 38 remaining months, using period fraction 1.</t>
  </si>
  <si>
    <t>Straight-line depreciation spreads the opening balance evenly over the 37 remaining months, using period fraction 1.</t>
  </si>
  <si>
    <t>Opening adjusted by 12,652.40 from the prior closing due to CPI remeasurement (index 107.2). Straight-line depreciation spreads the opening balance evenly over the 36 remaining months, using period fraction 1.</t>
  </si>
  <si>
    <t>Straight-line depreciation spreads the opening balance evenly over the 35 remaining months, using period fraction 1.</t>
  </si>
  <si>
    <t>Straight-line depreciation spreads the opening balance evenly over the 34 remaining months, using period fraction 1.</t>
  </si>
  <si>
    <t>Straight-line depreciation spreads the opening balance evenly over the 33 remaining months, using period fraction 1.</t>
  </si>
  <si>
    <t>Straight-line depreciation spreads the opening balance evenly over the 32 remaining months, using period fraction 1.</t>
  </si>
  <si>
    <t>Straight-line depreciation spreads the opening balance evenly over the 31 remaining months, using period fraction 1.</t>
  </si>
  <si>
    <t>Straight-line depreciation spreads the opening balance evenly over the 30 remaining months, using period fraction 1.</t>
  </si>
  <si>
    <t>Straight-line depreciation spreads the opening balance evenly over the 29 remaining months, using period fraction 1.</t>
  </si>
  <si>
    <t>Straight-line depreciation spreads the opening balance evenly over the 28 remaining months, using period fraction 1.</t>
  </si>
  <si>
    <t>Straight-line depreciation spreads the opening balance evenly over the 27 remaining months, using period fraction 1.</t>
  </si>
  <si>
    <t>Straight-line depreciation spreads the opening balance evenly over the 26 remaining months, using period fraction 1.</t>
  </si>
  <si>
    <t>Straight-line depreciation spreads the opening balance evenly over the 25 remaining months, using period fraction 1.</t>
  </si>
  <si>
    <t>Opening adjusted by 8,949.35 from the prior closing due to CPI remeasurement (index 110.5). Straight-line depreciation spreads the opening balance evenly over the 24 remaining months, using period fraction 1.</t>
  </si>
  <si>
    <t>Straight-line depreciation spreads the opening balance evenly over the 23 remaining months, using period fraction 1.</t>
  </si>
  <si>
    <t>Straight-line depreciation spreads the opening balance evenly over the 22 remaining months, using period fraction 1.</t>
  </si>
  <si>
    <t>Straight-line depreciation spreads the opening balance evenly over the 21 remaining months, using period fraction 1.</t>
  </si>
  <si>
    <t>Straight-line depreciation spreads the opening balance evenly over the 20 remaining months, using period fraction 1.</t>
  </si>
  <si>
    <t>Straight-line depreciation spreads the opening balance evenly over the 19 remaining months, using period fraction 1.</t>
  </si>
  <si>
    <t>Straight-line depreciation spreads the opening balance evenly over the 18 remaining months, using period fraction 1.</t>
  </si>
  <si>
    <t>Straight-line depreciation spreads the opening balance evenly over the 17 remaining months, using period fraction 1.</t>
  </si>
  <si>
    <t>Straight-line depreciation spreads the opening balance evenly over the 16 remaining months, using period fraction 1.</t>
  </si>
  <si>
    <t>Straight-line depreciation spreads the opening balance evenly over the 15 remaining months, using period fraction 1.</t>
  </si>
  <si>
    <t>Straight-line depreciation spreads the opening balance evenly over the 14 remaining months, using period fraction 1.</t>
  </si>
  <si>
    <t>Straight-line depreciation spreads the opening balance evenly over the 13 remaining months, using period fraction 1.</t>
  </si>
  <si>
    <t>Straight-line depreciation spreads the opening balance evenly over the 12 remaining months, using period fraction 1.</t>
  </si>
  <si>
    <t>Straight-line depreciation spreads the opening balance evenly over the 11 remaining months, using period fraction 1.</t>
  </si>
  <si>
    <t>Straight-line depreciation spreads the opening balance evenly over the 10 remaining months, using period fraction 1.</t>
  </si>
  <si>
    <t>Straight-line depreciation spreads the opening balance evenly over the 9 remaining months, using period fraction 1.</t>
  </si>
  <si>
    <t>Straight-line depreciation spreads the opening balance evenly over the 8 remaining months, using period fraction 1.</t>
  </si>
  <si>
    <t>Straight-line depreciation spreads the opening balance evenly over the 7 remaining months, using period fraction 1.</t>
  </si>
  <si>
    <t>Straight-line depreciation spreads the opening balance evenly over the 6 remaining months, using period fraction 1.</t>
  </si>
  <si>
    <t>Straight-line depreciation spreads the opening balance evenly over the 5 remaining months, using period fraction 1.</t>
  </si>
  <si>
    <t>Straight-line depreciation spreads the opening balance evenly over the 4 remaining months, using period fraction 1.</t>
  </si>
  <si>
    <t>Straight-line depreciation spreads the opening balance evenly over the 3 remaining months, using period fraction 1.</t>
  </si>
  <si>
    <t>Straight-line depreciation spreads the opening balance evenly over the 2 remaining months, using period fraction 1.</t>
  </si>
  <si>
    <t>Straight-line depreciation spreads the opening balance evenly over the 1 remaining months, using period fraction 1.</t>
  </si>
  <si>
    <t>Journal</t>
  </si>
  <si>
    <t>Journal Post Date</t>
  </si>
  <si>
    <t>Lease Period</t>
  </si>
  <si>
    <t>Type</t>
  </si>
  <si>
    <t>Commentary</t>
  </si>
  <si>
    <t>DR ROU Asset (BS)</t>
  </si>
  <si>
    <t>DR Depr (P&amp;L)</t>
  </si>
  <si>
    <t>DR Interest (P&amp;L)</t>
  </si>
  <si>
    <t>DR Make-Good Accr. (P&amp;L)</t>
  </si>
  <si>
    <t>DR Loss on Modification (P&amp;L)</t>
  </si>
  <si>
    <t>DR Lease Liability (BS)</t>
  </si>
  <si>
    <t>DR Lease Incentive Receivable (BS)</t>
  </si>
  <si>
    <t>DR Make-Good (BS)</t>
  </si>
  <si>
    <t>DR Cash (BS)</t>
  </si>
  <si>
    <t>CR Lease Incentive Receivable (BS)</t>
  </si>
  <si>
    <t>CR Cash (BS)</t>
  </si>
  <si>
    <t>CR Acc Dep (BS)</t>
  </si>
  <si>
    <t>CR Lease Liability (BS)</t>
  </si>
  <si>
    <t>CR Make-Good (BS)</t>
  </si>
  <si>
    <t>CR ROU (BS)</t>
  </si>
  <si>
    <t>CR Gain on ROU (P&amp;L)</t>
  </si>
  <si>
    <t>Initial Recognition</t>
  </si>
  <si>
    <t>Sets up the opening IFRS 16 balances at period 0: the right-of-use asset and lease liability are recognised, with any commencement cash, deferred lease incentive receivable and make-good provision included where applicable.</t>
  </si>
  <si>
    <t>Period Accrual</t>
  </si>
  <si>
    <t>Recognises the periodic interest expense on the outstanding lease liability and the periodic depreciation of the right-of-use asset.</t>
  </si>
  <si>
    <t>Lease Payment</t>
  </si>
  <si>
    <t>Records the lease cash payment for the period: the full cash payment is debited to the lease liability and credited to cash (gross method). The period's interest is recognised on the matching interest accrual, which credits the liability, so the payment and accrual together reduce the liability by the principal portion of that payment.</t>
  </si>
  <si>
    <t>CPI Remeasurement</t>
  </si>
  <si>
    <t>Records CPI-linked remeasurement by updating the lease liability to the revised present value of remaining payments and posting the offset to the right-of-use asset or gain on ROU, as applicable.</t>
  </si>
  <si>
    <t>PerMod_Reconciliations</t>
  </si>
  <si>
    <t>Summary metric</t>
  </si>
  <si>
    <t>Value</t>
  </si>
  <si>
    <t>Applied reconciliation rows</t>
  </si>
  <si>
    <t>Applied reconciliation PASS rows</t>
  </si>
  <si>
    <t>Applied reconciliation FAIL rows</t>
  </si>
  <si>
    <t>Accepted into intake only rows</t>
  </si>
  <si>
    <t>Ignored rows</t>
  </si>
  <si>
    <t>Applied event index</t>
  </si>
  <si>
    <t>Mod ID</t>
  </si>
  <si>
    <t>Row</t>
  </si>
  <si>
    <t>Event type</t>
  </si>
  <si>
    <t>Applied order index</t>
  </si>
  <si>
    <t>Effective period</t>
  </si>
  <si>
    <t>Primary basis</t>
  </si>
  <si>
    <t>Pre-mod carrying</t>
  </si>
  <si>
    <t>PV / after carrying</t>
  </si>
  <si>
    <t>Delta</t>
  </si>
  <si>
    <t>Discount rate used %</t>
  </si>
  <si>
    <t>ROU routing</t>
  </si>
  <si>
    <t>Journal refs</t>
  </si>
  <si>
    <t>Notes</t>
  </si>
  <si>
    <t>PASS</t>
  </si>
  <si>
    <t>No contract modifications (IFRS 16.44-46) were applied in this run. CPI-linked remeasurements and lease-term reassessments are evidenced on the CPI Event Trace sheet and in the Inputs reassessment block.</t>
  </si>
  <si>
    <t>Per-event audit evidence</t>
  </si>
  <si>
    <t>No contract-modification evidence blocks were needed in this run. CPI-linked remeasurements and lease-term reassessments are evidenced on the CPI Event Trace sheet and in the Inputs reassessment block.</t>
  </si>
  <si>
    <t>Non-applied modification rows</t>
  </si>
  <si>
    <t>Stream</t>
  </si>
  <si>
    <t>Reason / handling</t>
  </si>
  <si>
    <t>No accepted-into-intake-only or ignored modification rows were present in this run.</t>
  </si>
  <si>
    <t>Run ID</t>
  </si>
  <si>
    <t>6e831a0ab417-43f9a731ecb2</t>
  </si>
  <si>
    <t>Trace ref</t>
  </si>
  <si>
    <t>Control ID</t>
  </si>
  <si>
    <t>Control</t>
  </si>
  <si>
    <t>Result</t>
  </si>
  <si>
    <t>Why this happened</t>
  </si>
  <si>
    <t>What the engine checked</t>
  </si>
  <si>
    <t>Key evidence</t>
  </si>
  <si>
    <t>Trace to</t>
  </si>
  <si>
    <t>TRACE-CTRL-001</t>
  </si>
  <si>
    <t>CTRL-001</t>
  </si>
  <si>
    <t>Journal law (total DR = total CR)</t>
  </si>
  <si>
    <t>This control passed with no issues detected.</t>
  </si>
  <si>
    <t>Sum all journal debits and credits; PASS only when the canonical cent values match exactly.</t>
  </si>
  <si>
    <t>DR=2133099.82 CR=2133099.82 Diff=0</t>
  </si>
  <si>
    <t>No action needed. Keep this as supporting evidence if you need an audit trail.</t>
  </si>
  <si>
    <t>Checks | Control Evidence | Control Evidence Detail</t>
  </si>
  <si>
    <t>TRACE-CTRL-002</t>
  </si>
  <si>
    <t>CTRL-002</t>
  </si>
  <si>
    <t>Commencement law (opening lease liability equals initial recognition)</t>
  </si>
  <si>
    <t>Compare liability opening balance to the initial-recognition lease-liability credit; PASS only when the canonical cent values match exactly.</t>
  </si>
  <si>
    <t>Opening=599259.96 InitCR=599259.96 Diff=0</t>
  </si>
  <si>
    <t>TRACE-CTRL-003</t>
  </si>
  <si>
    <t>CTRL-003</t>
  </si>
  <si>
    <t>Commencement law (opening ROU asset equals initial recognition)</t>
  </si>
  <si>
    <t>Compare ROU opening balance to the initial-recognition ROU debit; PASS only when the canonical cent values match exactly.</t>
  </si>
  <si>
    <t>Opening=602759.96 InitDR=602759.96 Diff=0</t>
  </si>
  <si>
    <t>TRACE-CTRL-004</t>
  </si>
  <si>
    <t>CTRL-004</t>
  </si>
  <si>
    <t>Liability law (schedule movement equals journals)</t>
  </si>
  <si>
    <t>Compare liability movement in the schedule to liability journal postings; PASS only when the canonical cent values match exactly.</t>
  </si>
  <si>
    <t>Schedule=-599259.96 Journal=-599259.96 Diff=0</t>
  </si>
  <si>
    <t>TRACE-CTRL-005</t>
  </si>
  <si>
    <t>CTRL-005</t>
  </si>
  <si>
    <t>ROU law (schedule movement equals journals)</t>
  </si>
  <si>
    <t>Compare ROU movement in the schedule to ROU and accumulated-depreciation journal postings; PASS only when the canonical cent values match exactly.</t>
  </si>
  <si>
    <t>Schedule=-602759.96 Journal=-602759.96 Diff=0</t>
  </si>
  <si>
    <t>TRACE-CTRL-006</t>
  </si>
  <si>
    <t>CTRL-006</t>
  </si>
  <si>
    <t>Depreciation law (schedule depreciation equals journals)</t>
  </si>
  <si>
    <t>Compare schedule depreciation to journal depreciation; PASS only when the canonical cent values match exactly.</t>
  </si>
  <si>
    <t>Diff=0</t>
  </si>
  <si>
    <t>TRACE-CTRL-007</t>
  </si>
  <si>
    <t>CTRL-007</t>
  </si>
  <si>
    <t>Commencement law (opening liability equals PV of base payments)</t>
  </si>
  <si>
    <t>Compare the first liability opening balance to the initial liability supplied by the engine; PASS only when the canonical cent values match exactly.</t>
  </si>
  <si>
    <t>Opening=599259.96 Expected=599259.96 Diff=0 Basis=initial liability Timing=In arrears</t>
  </si>
  <si>
    <t>TRACE-CTRL-008</t>
  </si>
  <si>
    <t>CTRL-008</t>
  </si>
  <si>
    <t>Liability law (opening + interest - payment = closing)</t>
  </si>
  <si>
    <t>For each period, verify opening balance + interest - payment = closing balance using canonical exact comparison, where 'payment' is the amount applied in the roll-forward. An in-advance commencement payment is settled at initial recognition and excluded from the opening liability, so the first in-advance period reflects interest only and its Payment column shows 0. PASS only when every period matches exactly.</t>
  </si>
  <si>
    <t>MaxAbsDiff=0 at period=60</t>
  </si>
  <si>
    <t>TRACE-CTRL-009</t>
  </si>
  <si>
    <t>CTRL-009</t>
  </si>
  <si>
    <t>Interest law (effective rate formula)</t>
  </si>
  <si>
    <t>For each period, verify interest equals opening balance multiplied by the effective periodic rate using canonical exact comparison; PASS only when every period matches exactly.</t>
  </si>
  <si>
    <t>MaxAbsDiff=0 at period=n/a Rate=0.004867550565343048</t>
  </si>
  <si>
    <t>TRACE-CTRL-010</t>
  </si>
  <si>
    <t>CTRL-010</t>
  </si>
  <si>
    <t>CPI law (remeasured opening liability equals PV of remaining payments)</t>
  </si>
  <si>
    <t>For each CPI event, compare the liability opening balance to the present value of remaining scheduled payments from that period using canonical exact comparison; PASS only when every checked event matches exactly.</t>
  </si>
  <si>
    <t>EventsChecked=3 MaxAbsDiff=0 at period=n/a SnappedEventsReported=0 MappingRows=0 MappingRowDeficit=0</t>
  </si>
  <si>
    <t>TRACE-CTRL-016</t>
  </si>
  <si>
    <t>CTRL-016</t>
  </si>
  <si>
    <t>Journal accrual law (one interest accrual row per displayed schedule period)</t>
  </si>
  <si>
    <t>For each displayed lease period, require exactly one recurring Accrual journal row dated on that displayed period date, with period interest and depreciation equal to the displayed liability and ROU schedules; PASS only when every period matches and no orphan accrual rows remain.</t>
  </si>
  <si>
    <t>JournalInterestRows=60 SchedulePeriods=60 InterestRowsPerPeriodMax=1 InterestRowDeficitOrSurplus=0 MissingPeriods=0 DuplicatePeriods=0 DateMismatches=0 FirstCountMismatchPeriod=n/a FirstDateMismatchPeriod=n/a OrphanPeriods=0 OrphanJournalDates=none MaxPerPeriodInterestDiff=0 MaxInterestDiffPeriod=n/a MaxPerPeriodDepDiff=0 MaxDepDiffPeriod=n/a TotalInterestDiff=0</t>
  </si>
  <si>
    <t>TRACE-CTRL-017</t>
  </si>
  <si>
    <t>CTRL-017</t>
  </si>
  <si>
    <t>Scope-change integrity law (same-day follow-on events inherit the surviving lease state)</t>
  </si>
  <si>
    <t>For each same-day scope change that feeds a later same-day modification or CPI event, require the scope event to land on the expected resized carrying amount when the revised stream still matches the scope factor, require the next same-day event to pick up that resized carrying amount exactly, and for inherited-vector scope decreases require no phantom same-day Modification Remeasure row that rebuilds removed scope; PASS only when every checked scope event carries forward the resized state exactly.</t>
  </si>
  <si>
    <t>ScopeEventsChecked=0 CarryAdjusted=0 CarryMismatches=0 UnexpectedSameDayScopeRemeasureRows=0 MissingFollowOn=0 FirstFailureDate=n/a (No same-day scope change follow-on events; not applicable).</t>
  </si>
  <si>
    <t>TRACE-CTRL-014</t>
  </si>
  <si>
    <t>CTRL-014</t>
  </si>
  <si>
    <t>Interest walkthrough law (walkthrough rows reconcile to schedule and journal evidence)</t>
  </si>
  <si>
    <t>Compare every exported Interest Walkthrough row to the canonical liability schedule values, calculated interest bridge values, remeasurement opening adjustments, and linked journal references; PASS only when row counts, chain logic, references, and exported values match exactly.</t>
  </si>
  <si>
    <t>Rows=60 SheetRows=60 HeaderMismatches=0 ValueMismatches=0 RefMismatches=0 AdjustmentRows=3 UnexplainedAdjustments=0 ChainBreaks=0 MissingAccrualRefs=0 MissingPaymentRefs=0 MaxInterestDiff=0 MaxCloseDiff=0</t>
  </si>
  <si>
    <t>TRACE-CTRL-015</t>
  </si>
  <si>
    <t>CTRL-015</t>
  </si>
  <si>
    <t>Depreciation walkthrough law (walkthrough rows reconcile to ROU schedule and journal evidence)</t>
  </si>
  <si>
    <t>Compare every exported Depreciation Walkthrough row to the canonical ROU schedule values, remaining-frame depreciation bridge values, remeasurement opening adjustments, and linked journal references; PASS only when row counts, chain logic, references, and exported values match exactly.</t>
  </si>
  <si>
    <t>Rows=60 SheetRows=60 HeaderMismatches=0 ValueMismatches=0 RefMismatches=0 AdjustmentRows=3 UnexplainedAdjustments=0 ChainBreaks=0 MissingDepreciationRefs=0 MaxDepreciationDiff=0 MaxCloseDiff=0</t>
  </si>
  <si>
    <t>TRACE-CTRL-011</t>
  </si>
  <si>
    <t>CTRL-011</t>
  </si>
  <si>
    <t>Provision convergence law (terminal make-good provision equals expected settlement)</t>
  </si>
  <si>
    <t>Compare the terminal make-good provision closing balance to the expected settlement amount; PASS only when the canonical cent values match exactly.</t>
  </si>
  <si>
    <t>Applicable=false CurrentExpectedSettlement=0 PresentValue=0 FinalJournalledBalance=0 SettlementDiff=0 PeriodsMissingAccretion=0 IssueCount=0</t>
  </si>
  <si>
    <t>TRACE-CTRL-012</t>
  </si>
  <si>
    <t>CTRL-012</t>
  </si>
  <si>
    <t>Depreciation denominator law (remaining ROU weight drives prospective depreciation)</t>
  </si>
  <si>
    <t>For each depreciation segment opening, verify the implied frame equals the remaining depreciation frame in force at that segment start (the remaining lease term, or the remaining useful life where ownership transfer is reasonably certain per IFRS 16.32); PASS only when every checked segment matches exactly.</t>
  </si>
  <si>
    <t>SegmentsChecked=4 MaxAbsFrameDiff=0 at start period=13 ExpectedFrame=48 ImpliedFrame=48</t>
  </si>
  <si>
    <t>TRACE-CTRL-013</t>
  </si>
  <si>
    <t>CTRL-013</t>
  </si>
  <si>
    <t>Cadence integrity law (paid rows stay on supported boundaries)</t>
  </si>
  <si>
    <t>For each paid liability period, verify the payment date is present, strictly increasing, and exactly on the supported period boundary for that row's timing; PASS only when every paid row stays on the supported cadence.</t>
  </si>
  <si>
    <t>PaymentsChecked=58 ViolatingRows=0 BlankDatePayments=0 BoundaryMismatches=0 NonMonotonicDates=0 ParseFailures=0 PeriodsWithMultiplePayments=0 TerminalStubPaymentRows=0 FirstViolationPeriod=n/a</t>
  </si>
  <si>
    <t>Checks</t>
  </si>
  <si>
    <t>Controls passed: 17 of 17</t>
  </si>
  <si>
    <t>Check</t>
  </si>
  <si>
    <t>Detail</t>
  </si>
  <si>
    <t>Exception ID</t>
  </si>
  <si>
    <t>Detected at UTC</t>
  </si>
  <si>
    <t>Reason (plain English)</t>
  </si>
  <si>
    <t>Technical detail</t>
  </si>
  <si>
    <t>Suggested user action</t>
  </si>
  <si>
    <t>Resolved by</t>
  </si>
  <si>
    <t>Resolved at UTC</t>
  </si>
  <si>
    <t>recorded at export: 2026-06-12T12:00:00.000Z</t>
  </si>
  <si>
    <t>No open exceptions for this export.</t>
  </si>
  <si>
    <t>System</t>
  </si>
  <si>
    <t>Control Register</t>
  </si>
  <si>
    <t>Objective</t>
  </si>
  <si>
    <t>Rule Logic</t>
  </si>
  <si>
    <t>Threshold/Tolerance</t>
  </si>
  <si>
    <t>Severity</t>
  </si>
  <si>
    <t>Owner role</t>
  </si>
  <si>
    <t>Evidence source tab</t>
  </si>
  <si>
    <t>Failure impact</t>
  </si>
  <si>
    <t>Absolute difference &lt;= 0.01</t>
  </si>
  <si>
    <t>Info</t>
  </si>
  <si>
    <t>User</t>
  </si>
  <si>
    <t>Potential statement misclassification or misstatement risk.</t>
  </si>
  <si>
    <t>High</t>
  </si>
  <si>
    <t>Absolute difference &lt;= 0.05</t>
  </si>
  <si>
    <t>Potential valuation risk in IFRS 16 measurement.</t>
  </si>
  <si>
    <t>Header mismatches = 0, value mismatches = 0, ref mismatches = 0, unexplained adjustments = 0 and chain breaks = 0</t>
  </si>
  <si>
    <t>Subscriber-facing interest explanation is inconsistent with the liability schedule, remeasurement chain, or linked journal evidence.</t>
  </si>
  <si>
    <t>Subscriber-facing depreciation explanation is inconsistent with the ROU schedule, remaining-frame logic, or linked journal evidence.</t>
  </si>
  <si>
    <t>Accrual row count delta = 0, rows per period = 1, date mismatches = 0, interest diff &lt;= 0.01 and depreciation diff &lt;= 0.01</t>
  </si>
  <si>
    <t>Recurring accrual journals no longer reconcile one-to-one with displayed schedule periods, so period evidence is not safe to report.</t>
  </si>
  <si>
    <t>Scope events checked &gt; 0 implies carry mismatches = 0, unexpected same-day scope remeasure rows = 0 and missing follow-on events = 0</t>
  </si>
  <si>
    <t>Potential same-day modification chaining risk: later events may rebuild the removed lease portion instead of carrying the surviving scope state.</t>
  </si>
  <si>
    <t>Potential valuation risk in restoration or make-good measurement.</t>
  </si>
  <si>
    <t>Potential valuation risk in prospective ROU depreciation.</t>
  </si>
  <si>
    <t>Violating paid rows = 0</t>
  </si>
  <si>
    <t>Potential cash-flow cadence or schedule-boundary integrity risk.</t>
  </si>
  <si>
    <t>Control Evidence</t>
  </si>
  <si>
    <t>Evidence detail</t>
  </si>
  <si>
    <t>Control Evidence Detail</t>
  </si>
  <si>
    <t>Metric 1</t>
  </si>
  <si>
    <t>Value 1</t>
  </si>
  <si>
    <t>Metric 2</t>
  </si>
  <si>
    <t>Value 2</t>
  </si>
  <si>
    <t>Metric 3</t>
  </si>
  <si>
    <t>Value 3</t>
  </si>
  <si>
    <t>Metric 4</t>
  </si>
  <si>
    <t>Value 4</t>
  </si>
  <si>
    <t>DR</t>
  </si>
  <si>
    <t>2133099.82</t>
  </si>
  <si>
    <t>CR</t>
  </si>
  <si>
    <t>Diff</t>
  </si>
  <si>
    <t>0</t>
  </si>
  <si>
    <t>599259.96</t>
  </si>
  <si>
    <t>InitCR</t>
  </si>
  <si>
    <t>602759.96</t>
  </si>
  <si>
    <t>InitDR</t>
  </si>
  <si>
    <t>Schedule</t>
  </si>
  <si>
    <t>-599259.96</t>
  </si>
  <si>
    <t>-602759.96</t>
  </si>
  <si>
    <t>Expected</t>
  </si>
  <si>
    <t>Basis</t>
  </si>
  <si>
    <t>initial</t>
  </si>
  <si>
    <t>MaxAbsDiff</t>
  </si>
  <si>
    <t>period</t>
  </si>
  <si>
    <t>60</t>
  </si>
  <si>
    <t>n/a</t>
  </si>
  <si>
    <t>Rate</t>
  </si>
  <si>
    <t>0.004867550565343048</t>
  </si>
  <si>
    <t>EventsChecked</t>
  </si>
  <si>
    <t>3</t>
  </si>
  <si>
    <t>SnappedEventsReported</t>
  </si>
  <si>
    <t>Rows</t>
  </si>
  <si>
    <t>SheetRows</t>
  </si>
  <si>
    <t>HeaderMismatches</t>
  </si>
  <si>
    <t>ValueMismatches</t>
  </si>
  <si>
    <t>JournalInterestRows</t>
  </si>
  <si>
    <t>SchedulePeriods</t>
  </si>
  <si>
    <t>InterestRowsPerPeriodMax</t>
  </si>
  <si>
    <t>1</t>
  </si>
  <si>
    <t>InterestRowDeficitOrSurplus</t>
  </si>
  <si>
    <t>ScopeEventsChecked</t>
  </si>
  <si>
    <t>CarryAdjusted</t>
  </si>
  <si>
    <t>CarryMismatches</t>
  </si>
  <si>
    <t>UnexpectedSameDayScopeRemeasureRows</t>
  </si>
  <si>
    <t>Applicable</t>
  </si>
  <si>
    <t>false</t>
  </si>
  <si>
    <t>CurrentExpectedSettlement</t>
  </si>
  <si>
    <t>PresentValue</t>
  </si>
  <si>
    <t>FinalJournalledBalance</t>
  </si>
  <si>
    <t>SegmentsChecked</t>
  </si>
  <si>
    <t>4</t>
  </si>
  <si>
    <t>MaxAbsFrameDiff</t>
  </si>
  <si>
    <t>13</t>
  </si>
  <si>
    <t>ExpectedFrame</t>
  </si>
  <si>
    <t>48</t>
  </si>
  <si>
    <t>PaymentsChecked</t>
  </si>
  <si>
    <t>58</t>
  </si>
  <si>
    <t>ViolatingRows</t>
  </si>
  <si>
    <t>BlankDatePayments</t>
  </si>
  <si>
    <t>BoundaryMismatches</t>
  </si>
  <si>
    <t>Run Metadata</t>
  </si>
  <si>
    <t>Exporter</t>
  </si>
  <si>
    <t>export-alltables.js</t>
  </si>
  <si>
    <t>Engine version</t>
  </si>
  <si>
    <t>2026-07-19-po-depreciation-over-useful-life-both-directions-v1</t>
  </si>
  <si>
    <t>Result generated UTC</t>
  </si>
  <si>
    <t>2026-01-01T00:00:00.000Z</t>
  </si>
  <si>
    <t>Schedule JSON bytes</t>
  </si>
  <si>
    <t>Schedule JSON checksum (SHA-256)</t>
  </si>
  <si>
    <t>4c2474338111ceff5c6527e28caa77fc67988e47703597988aee6e59490d8166</t>
  </si>
  <si>
    <t>Run certificate version</t>
  </si>
  <si>
    <t>2.0</t>
  </si>
  <si>
    <t>Ruleset version</t>
  </si>
  <si>
    <t>ifrs16-controls-v2</t>
  </si>
  <si>
    <t>Schema version</t>
  </si>
  <si>
    <t>ifrs16-export-v3</t>
  </si>
  <si>
    <t>Input hash (SHA-256)</t>
  </si>
  <si>
    <t>6e831a0ab417a126d2dadca69cf72f6af0ea4dd990dd8a15080c777949933523</t>
  </si>
  <si>
    <t>Output hash (SHA-256)</t>
  </si>
  <si>
    <t>43f9a731ecb25e844b1df19f247a37af7b23e48d18c67597afe55cc2f7a444bc</t>
  </si>
  <si>
    <t>Manifest hash (SHA-256)</t>
  </si>
  <si>
    <t>6d8b03e42a8bdb5dd2afd06964071f95e0ba605d37d3e8cd2cd1af0e944cabff</t>
  </si>
  <si>
    <t>Liability rows</t>
  </si>
  <si>
    <t>ROU rows</t>
  </si>
  <si>
    <t>Journal rows</t>
  </si>
  <si>
    <t>CPI raw events</t>
  </si>
  <si>
    <t>CPI normalised events</t>
  </si>
  <si>
    <t>CPI applied events</t>
  </si>
  <si>
    <t>Volatile fields excluded from content hash</t>
  </si>
  <si>
    <t>Run Metadata: Result generated UTC, Export UTC, Exported at (UTC), Manifest hash (SHA-256), Deterministic content hash (SHA-256); Read Me: Exported at; Action List: Export UTC, Exported at (UTC); Exceptions: Detected at UTC, Resolved at UTC</t>
  </si>
  <si>
    <t>Timestamp policy</t>
  </si>
  <si>
    <t>Run and export timestamps are recorded as real UTC times. Regression comparison should use the deterministic content hash, which excludes workbook fields that vary only because the export was generated at a different time.</t>
  </si>
  <si>
    <t>Reconciliation applied rows</t>
  </si>
  <si>
    <t>Reconciliation pass rows</t>
  </si>
  <si>
    <t>Reconciliation fail rows</t>
  </si>
  <si>
    <t>Reconciliation intake-only rows</t>
  </si>
  <si>
    <t>Reconciliation ignored rows</t>
  </si>
  <si>
    <t>Modification accepted rows</t>
  </si>
  <si>
    <t>Modification ignored rows</t>
  </si>
  <si>
    <t>Modification applied rows</t>
  </si>
  <si>
    <t>Modification warning rows</t>
  </si>
  <si>
    <t>Modification rule id</t>
  </si>
  <si>
    <t>Explanation layer version</t>
  </si>
  <si>
    <t>explain-v1</t>
  </si>
  <si>
    <t>Traceability map version</t>
  </si>
  <si>
    <t>ifrs16-traceability-map-v1</t>
  </si>
  <si>
    <t>Primary explanation tab</t>
  </si>
  <si>
    <t>Deterministic content hash (SHA-256)</t>
  </si>
  <si>
    <t>8be53058d36659a14721a058cfdd9234bc54c3c9b077e35f36a62f60c4033b1d</t>
  </si>
  <si>
    <t>Modification Trace</t>
  </si>
  <si>
    <t>Key inputs</t>
  </si>
  <si>
    <t>Engine handling</t>
  </si>
  <si>
    <t>No modification rows captured</t>
  </si>
  <si>
    <t>No modification input rows were captured in this run.</t>
  </si>
  <si>
    <t>CPI Event Trace</t>
  </si>
  <si>
    <t>Seq</t>
  </si>
  <si>
    <t>Period index</t>
  </si>
  <si>
    <t>Source date</t>
  </si>
  <si>
    <t>Raw</t>
  </si>
  <si>
    <t>User entered event</t>
  </si>
  <si>
    <t>Normalised</t>
  </si>
  <si>
    <t>After cleaning/sorting/base anchor</t>
  </si>
  <si>
    <t>Post snap/strict date handling</t>
  </si>
  <si>
    <t>Mapped</t>
  </si>
  <si>
    <t>Mapped to lease period</t>
  </si>
  <si>
    <t>DISCLAIMER</t>
  </si>
  <si>
    <t>This tool and the schedules it generates are provided strictly for general informational</t>
  </si>
  <si>
    <t>purposes. They do not constitute accounting, financial, tax, legal, or compliance advice,</t>
  </si>
  <si>
    <t>and must not be relied upon as such.</t>
  </si>
  <si>
    <t>All calculations are based solely on the inputs provided by the user. Results may not</t>
  </si>
  <si>
    <t>reflect the requirements of IFRS 16, ASC 842, local GAAP, or any other applicable</t>
  </si>
  <si>
    <t>standard in all circumstances.</t>
  </si>
  <si>
    <t>The user is solely responsible for verifying the accuracy, completeness, and</t>
  </si>
  <si>
    <t>appropriateness of all inputs, assumptions, calculations, and outputs before using</t>
  </si>
  <si>
    <t>them for financial reporting, decision-making, or any other purpose.</t>
  </si>
  <si>
    <t>No warranty of any kind is provided, whether express or implied, including but not</t>
  </si>
  <si>
    <t>limited to warranties of accuracy, completeness, fitness for a particular purpose,</t>
  </si>
  <si>
    <t>merchantability, or compliance with accounting standards.</t>
  </si>
  <si>
    <t>By using this tool, the user agrees that the creator, developer, and distributor of</t>
  </si>
  <si>
    <t>this tool shall not be held liable for any loss, damage, error, omission, misstatement,</t>
  </si>
  <si>
    <t>or consequence arising from the use of, or reliance on, any part of this tool or its</t>
  </si>
  <si>
    <t>outputs, whether direct or indirect, foreseeable or unforeseeable.</t>
  </si>
  <si>
    <t>PAYMENT AND REFUNDS</t>
  </si>
  <si>
    <t>Access to this tool is provided on an “as-is” basis. Payment grants access to the tool</t>
  </si>
  <si>
    <t>only and does not guarantee that the tool, its calculations, or its outputs will meet</t>
  </si>
  <si>
    <t>any specific reporting, compliance, audit, or organisational requirements.</t>
  </si>
  <si>
    <t>Refunds are not provided for change of mind, user error, or dissatisfaction with the</t>
  </si>
  <si>
    <t>outputs. To the maximum extent permitted by applicable law, no guarantee, warranty,</t>
  </si>
  <si>
    <t>or representation is made regarding the accuracy, completeness, or suitability of the</t>
  </si>
  <si>
    <t>calculations or results generated by this tool.</t>
  </si>
  <si>
    <t>Nothing in this disclaimer limits any rights you may have under mandatory</t>
  </si>
  <si>
    <t>consumer-protection laws in your jurisdiction.</t>
  </si>
  <si>
    <t>Use of this tool constitutes acceptance of these terms.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</si>
</sst>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0.00)"/>
    <numFmt numFmtId="165" formatCode="0.000000%"/>
    <numFmt numFmtId="166" formatCode="0.000000"/>
  </numFmts>
  <fonts count="9" x14ac:knownFonts="1">
    <font>
      <color theme="1"/>
      <family val="2"/>
      <scheme val="minor"/>
      <sz val="11"/>
      <name val="Calibri"/>
    </font>
    <font>
      <b/>
      <color rgb="FFFFFFFF"/>
      <sz val="14"/>
      <name val="Aptos Display"/>
    </font>
    <font>
      <b/>
      <color rgb="FF475569"/>
      <sz val="10"/>
      <name val="Aptos"/>
    </font>
    <font>
      <color rgb="FF0F172A"/>
      <sz val="10"/>
      <name val="Aptos"/>
    </font>
    <font>
      <b/>
      <color rgb="FF115E59"/>
      <sz val="10"/>
      <name val="Aptos"/>
    </font>
    <font>
      <b/>
      <color rgb="FF115E59"/>
      <sz val="9"/>
      <name val="Aptos"/>
    </font>
    <font>
      <b/>
      <color rgb="FF15803D"/>
      <sz val="9"/>
      <name val="Aptos"/>
    </font>
    <font>
      <b/>
      <color rgb="FF0F172A"/>
      <sz val="10"/>
      <name val="Aptos"/>
    </font>
    <font>
      <b/>
      <color rgb="FF15803D"/>
      <sz val="10"/>
      <name val="Aptos"/>
    </font>
  </fonts>
  <fills count="8">
    <fill>
      <patternFill patternType="none"/>
    </fill>
    <fill>
      <patternFill patternType="gray125"/>
    </fill>
    <fill>
      <patternFill patternType="solid">
        <fgColor rgb="FF115E59"/>
      </patternFill>
    </fill>
    <fill>
      <patternFill patternType="solid">
        <fgColor rgb="FFF8FAFC"/>
      </patternFill>
    </fill>
    <fill>
      <patternFill patternType="solid">
        <fgColor rgb="FFFFFFFF"/>
      </patternFill>
    </fill>
    <fill>
      <patternFill patternType="solid">
        <fgColor rgb="FFF1F5F9"/>
      </patternFill>
    </fill>
    <fill>
      <patternFill patternType="solid">
        <fgColor rgb="FFF0FDFA"/>
      </patternFill>
    </fill>
    <fill>
      <patternFill patternType="solid">
        <fgColor rgb="FFF0FDF4"/>
      </patternFill>
    </fill>
  </fills>
  <borders count="5">
    <border>
      <left/>
      <right/>
      <top/>
      <bottom/>
      <diagonal/>
    </border>
    <border>
      <left/>
      <right/>
      <top/>
      <bottom style="medium">
        <color rgb="FFCBD5E1"/>
      </bottom>
      <diagonal/>
    </border>
    <border>
      <left/>
      <right/>
      <top/>
      <bottom style="thin">
        <color rgb="FFE2E8F0"/>
      </bottom>
      <diagonal/>
    </border>
    <border>
      <left/>
      <right/>
      <top style="thin">
        <color rgb="FFCBD5E1"/>
      </top>
      <bottom style="thin">
        <color rgb="FFCBD5E1"/>
      </bottom>
      <diagonal/>
    </border>
    <border>
      <left/>
      <right/>
      <top style="thin">
        <color rgb="FFCBD5E1"/>
      </top>
      <bottom style="medium">
        <color rgb="FFCBD5E1"/>
      </bottom>
      <diagonal/>
    </border>
  </borders>
  <cellStyleXfs count="1">
    <xf numFmtId="0" fontId="0" fillId="0" borderId="0"/>
  </cellStyleXfs>
  <cellXfs count="33">
    <xf numFmtId="0" fontId="0" fillId="0" borderId="0" xfId="0"/>
    <xf numFmtId="0" fontId="1" fillId="2" borderId="1" xfId="0" applyFont="1" applyFill="1" applyBorder="1" applyAlignment="1">
      <alignment horizontal="left" vertical="center" indent="1"/>
    </xf>
    <xf numFmtId="0" fontId="1" fillId="2" borderId="1" xfId="0" applyFont="1" applyFill="1" applyBorder="1" applyAlignment="1">
      <alignment horizontal="center" vertical="center"/>
    </xf>
    <xf numFmtId="0" fontId="2" fillId="3" borderId="2" xfId="0" applyFont="1" applyFill="1" applyBorder="1" applyAlignment="1">
      <alignment horizontal="left" vertical="center"/>
    </xf>
    <xf numFmtId="0" fontId="3" fillId="4" borderId="2" xfId="0" applyFont="1" applyFill="1" applyBorder="1" applyAlignment="1">
      <alignment horizontal="left" vertical="center" wrapText="1"/>
    </xf>
    <xf numFmtId="0" fontId="3" fillId="4" borderId="2" xfId="0" applyFont="1" applyFill="1" applyBorder="1"/>
    <xf numFmtId="0" fontId="4" fillId="5" borderId="3" xfId="0" applyFont="1" applyFill="1" applyBorder="1" applyAlignment="1">
      <alignment horizontal="left" vertical="center" wrapText="1"/>
    </xf>
    <xf numFmtId="0" fontId="5" fillId="6" borderId="2" xfId="0" applyFont="1" applyFill="1" applyBorder="1" applyAlignment="1">
      <alignment horizontal="center" vertical="center"/>
    </xf>
    <xf numFmtId="0" fontId="6" fillId="7" borderId="2" xfId="0" applyFont="1" applyFill="1" applyBorder="1" applyAlignment="1">
      <alignment horizontal="center" vertical="center"/>
    </xf>
    <xf numFmtId="164" fontId="3" fillId="4" borderId="2" xfId="0" applyNumberFormat="1" applyFont="1" applyFill="1" applyBorder="1" applyAlignment="1">
      <alignment horizontal="right" vertical="center"/>
    </xf>
    <xf numFmtId="0" fontId="7" fillId="6" borderId="4" xfId="0" applyFont="1" applyFill="1" applyBorder="1" applyAlignment="1">
      <alignment horizontal="left" vertical="center" wrapText="1"/>
    </xf>
    <xf numFmtId="0" fontId="7" fillId="6" borderId="4" xfId="0" applyFont="1" applyFill="1" applyBorder="1" applyAlignment="1">
      <alignment horizontal="center" vertical="center" wrapText="1"/>
    </xf>
    <xf numFmtId="0" fontId="3" fillId="4" borderId="2" xfId="0" applyFont="1" applyFill="1" applyBorder="1" applyAlignment="1">
      <alignment horizontal="left" vertical="center"/>
    </xf>
    <xf numFmtId="14" fontId="3" fillId="4" borderId="2" xfId="0" applyNumberFormat="1" applyFont="1" applyFill="1" applyBorder="1" applyAlignment="1">
      <alignment horizontal="left" vertical="center" wrapText="1"/>
    </xf>
    <xf numFmtId="10" fontId="3" fillId="4" borderId="2" xfId="0" applyNumberFormat="1" applyFont="1" applyFill="1" applyBorder="1" applyAlignment="1">
      <alignment horizontal="right" vertical="center"/>
    </xf>
    <xf numFmtId="1" fontId="3" fillId="4" borderId="2" xfId="0" applyNumberFormat="1" applyFont="1" applyFill="1" applyBorder="1" applyAlignment="1">
      <alignment horizontal="right" vertical="center"/>
    </xf>
    <xf numFmtId="165" fontId="3" fillId="4" borderId="2" xfId="0" applyNumberFormat="1" applyFont="1" applyFill="1" applyBorder="1" applyAlignment="1">
      <alignment horizontal="right" vertical="center"/>
    </xf>
    <xf numFmtId="0" fontId="7" fillId="6" borderId="4" xfId="0" applyFont="1" applyFill="1" applyBorder="1" applyAlignment="1">
      <alignment horizontal="right" vertical="center" wrapText="1"/>
    </xf>
    <xf numFmtId="0" fontId="3" fillId="4" borderId="2" xfId="0" applyFont="1" applyFill="1" applyBorder="1" applyAlignment="1">
      <alignment horizontal="right" vertical="center"/>
    </xf>
    <xf numFmtId="1" fontId="3" fillId="3" borderId="2" xfId="0" applyNumberFormat="1" applyFont="1" applyFill="1" applyBorder="1" applyAlignment="1">
      <alignment horizontal="center" vertical="center"/>
    </xf>
    <xf numFmtId="0" fontId="3" fillId="3" borderId="2" xfId="0" applyFont="1" applyFill="1" applyBorder="1" applyAlignment="1">
      <alignment horizontal="left" vertical="center"/>
    </xf>
    <xf numFmtId="164" fontId="3" fillId="3" borderId="2" xfId="0" applyNumberFormat="1" applyFont="1" applyFill="1" applyBorder="1" applyAlignment="1">
      <alignment horizontal="right" vertical="center"/>
    </xf>
    <xf numFmtId="1" fontId="3" fillId="4" borderId="2" xfId="0" applyNumberFormat="1" applyFont="1" applyFill="1" applyBorder="1" applyAlignment="1">
      <alignment horizontal="center" vertical="center"/>
    </xf>
    <xf numFmtId="14" fontId="3" fillId="4" borderId="2" xfId="0" applyNumberFormat="1" applyFont="1" applyFill="1" applyBorder="1" applyAlignment="1">
      <alignment horizontal="left" vertical="center"/>
    </xf>
    <xf numFmtId="14" fontId="3" fillId="3" borderId="2" xfId="0" applyNumberFormat="1" applyFont="1" applyFill="1" applyBorder="1" applyAlignment="1">
      <alignment horizontal="left" vertical="center"/>
    </xf>
    <xf numFmtId="166" fontId="3" fillId="4" borderId="2" xfId="0" applyNumberFormat="1" applyFont="1" applyFill="1" applyBorder="1" applyAlignment="1">
      <alignment horizontal="right"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right" vertical="center"/>
    </xf>
    <xf numFmtId="165" fontId="3" fillId="3" borderId="2" xfId="0" applyNumberFormat="1" applyFont="1" applyFill="1" applyBorder="1" applyAlignment="1">
      <alignment horizontal="right" vertical="center"/>
    </xf>
    <xf numFmtId="166" fontId="3" fillId="3" borderId="2" xfId="0" applyNumberFormat="1" applyFont="1" applyFill="1" applyBorder="1" applyAlignment="1">
      <alignment horizontal="right"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8" fillId="7" borderId="2"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pageSetUpPr fitToPage="1"/>
  </sheetPr>
  <dimension ref="A1:C77"/>
  <sheetViews>
    <sheetView workbookViewId="0" tabSelected="1" showGridLines="0"/>
  </sheetViews>
  <sheetFormatPr defaultRowHeight="20" outlineLevelRow="0" outlineLevelCol="0" x14ac:dyDescent="55" customHeight="1"/>
  <cols>
    <col min="1" max="1" width="56" customWidth="1"/>
    <col min="2" max="2" width="106" customWidth="1"/>
    <col min="3" max="3" width="30" customWidth="1"/>
  </cols>
  <sheetData>
    <row r="1" ht="30" customHeight="1" spans="1:3" x14ac:dyDescent="0.25">
      <c r="A1" s="1" t="s">
        <v>0</v>
      </c>
      <c r="B1" s="2"/>
      <c r="C1" s="2"/>
    </row>
    <row r="2" ht="7" customHeight="1" spans="1:3" x14ac:dyDescent="0.25">
      <c r="A2" t="s">
        <v>1</v>
      </c>
      <c r="B2" t="s">
        <v>1</v>
      </c>
      <c r="C2" t="s">
        <v>1</v>
      </c>
    </row>
    <row r="3" ht="20" customHeight="1" spans="1:3" x14ac:dyDescent="0.25">
      <c r="A3" s="3" t="s">
        <v>2</v>
      </c>
      <c r="B3" s="4" t="str">
        <f>HYPERLINK("https://ifrsconnect.com/?utm_source=excel_export&amp;utm_medium=xlsx&amp;utm_campaign=share","Open IFRS Connect")</f>
        <v>Open IFRS Connect</v>
      </c>
      <c r="C3" s="5" t="s">
        <v>1</v>
      </c>
    </row>
    <row r="4" ht="20" customHeight="1" spans="1:3" x14ac:dyDescent="0.25">
      <c r="A4" s="3" t="s">
        <v>3</v>
      </c>
      <c r="B4" s="4" t="str">
        <f>HYPERLINK("https://ifrsconnect.com/ifrs16calculator?utm_source=excel_export&amp;utm_medium=xlsx&amp;utm_campaign=share&amp;utm_content=calculator","Launch calculator")</f>
        <v>Launch calculator</v>
      </c>
      <c r="C4" s="5" t="s">
        <v>1</v>
      </c>
    </row>
    <row r="5" ht="7" customHeight="1" spans="1:3" x14ac:dyDescent="0.25">
      <c r="A5" t="s">
        <v>1</v>
      </c>
      <c r="B5" t="s">
        <v>1</v>
      </c>
      <c r="C5" t="s">
        <v>1</v>
      </c>
    </row>
    <row r="6" ht="52" customHeight="1" spans="1:3" x14ac:dyDescent="0.25">
      <c r="A6" s="6" t="s">
        <v>4</v>
      </c>
      <c r="B6" s="6"/>
      <c r="C6" s="6"/>
    </row>
    <row r="7" ht="7" customHeight="1" spans="1:3" x14ac:dyDescent="0.25">
      <c r="A7" t="s">
        <v>1</v>
      </c>
      <c r="B7" t="s">
        <v>1</v>
      </c>
      <c r="C7" t="s">
        <v>1</v>
      </c>
    </row>
    <row r="8" ht="20" customHeight="1" spans="1:3" x14ac:dyDescent="0.25">
      <c r="A8" s="3" t="s">
        <v>5</v>
      </c>
      <c r="B8" s="4" t="s">
        <v>6</v>
      </c>
      <c r="C8" s="5" t="s">
        <v>1</v>
      </c>
    </row>
    <row r="9" ht="20" customHeight="1" spans="1:3" x14ac:dyDescent="0.25">
      <c r="A9" s="3" t="s">
        <v>7</v>
      </c>
      <c r="B9" s="4" t="s">
        <v>8</v>
      </c>
      <c r="C9" s="5" t="s">
        <v>1</v>
      </c>
    </row>
    <row r="10" ht="20" customHeight="1" spans="1:3" x14ac:dyDescent="0.25">
      <c r="A10" s="3" t="s">
        <v>9</v>
      </c>
      <c r="B10" s="4" t="s">
        <v>10</v>
      </c>
      <c r="C10" s="5" t="s">
        <v>1</v>
      </c>
    </row>
    <row r="11" ht="20" customHeight="1" spans="1:3" x14ac:dyDescent="0.25">
      <c r="A11" s="3" t="s">
        <v>11</v>
      </c>
      <c r="B11" s="7" t="s">
        <v>12</v>
      </c>
      <c r="C11" s="5" t="s">
        <v>1</v>
      </c>
    </row>
    <row r="12" ht="20" customHeight="1" spans="1:3" x14ac:dyDescent="0.25">
      <c r="A12" s="3" t="s">
        <v>13</v>
      </c>
      <c r="B12" s="8" t="s">
        <v>14</v>
      </c>
      <c r="C12" s="5" t="s">
        <v>1</v>
      </c>
    </row>
    <row r="13" ht="20" customHeight="1" spans="1:3" x14ac:dyDescent="0.25">
      <c r="A13" s="3" t="s">
        <v>15</v>
      </c>
      <c r="B13" s="4" t="s">
        <v>16</v>
      </c>
      <c r="C13" s="5" t="s">
        <v>1</v>
      </c>
    </row>
    <row r="14" ht="36" customHeight="1" spans="1:3" x14ac:dyDescent="0.25">
      <c r="A14" s="3" t="s">
        <v>17</v>
      </c>
      <c r="B14" s="4" t="s">
        <v>18</v>
      </c>
      <c r="C14" s="5" t="s">
        <v>1</v>
      </c>
    </row>
    <row r="15" ht="7" customHeight="1" spans="1:3" x14ac:dyDescent="0.25">
      <c r="A15" t="s">
        <v>1</v>
      </c>
      <c r="B15" t="s">
        <v>1</v>
      </c>
      <c r="C15" t="s">
        <v>1</v>
      </c>
    </row>
    <row r="16" ht="20" customHeight="1" spans="1:3" x14ac:dyDescent="0.25">
      <c r="A16" s="6" t="s">
        <v>19</v>
      </c>
      <c r="B16" s="6"/>
      <c r="C16" s="6"/>
    </row>
    <row r="17" ht="20" customHeight="1" spans="1:3" x14ac:dyDescent="0.25">
      <c r="A17" s="3" t="s">
        <v>20</v>
      </c>
      <c r="B17" s="4" t="s">
        <v>21</v>
      </c>
      <c r="C17" s="5" t="s">
        <v>22</v>
      </c>
    </row>
    <row r="18" ht="20" customHeight="1" spans="1:3" x14ac:dyDescent="0.25">
      <c r="A18" s="3" t="str">
        <f>HYPERLINK("#'Read Me'!A1","Read Me")</f>
        <v>Read Me</v>
      </c>
      <c r="B18" s="4" t="s">
        <v>23</v>
      </c>
      <c r="C18" s="5" t="s">
        <v>24</v>
      </c>
    </row>
    <row r="19" ht="20" customHeight="1" spans="1:3" x14ac:dyDescent="0.25">
      <c r="A19" s="3" t="str">
        <f>HYPERLINK("#'Audit Summary'!A1","Audit Summary")</f>
        <v>Audit Summary</v>
      </c>
      <c r="B19" s="4" t="s">
        <v>25</v>
      </c>
      <c r="C19" s="5" t="s">
        <v>26</v>
      </c>
    </row>
    <row r="20" ht="20" customHeight="1" spans="1:3" x14ac:dyDescent="0.25">
      <c r="A20" s="3" t="str">
        <f>HYPERLINK("#'Action List'!A1","Action List")</f>
        <v>Action List</v>
      </c>
      <c r="B20" s="4" t="s">
        <v>27</v>
      </c>
      <c r="C20" s="5" t="s">
        <v>24</v>
      </c>
    </row>
    <row r="21" ht="20" customHeight="1" spans="1:3" x14ac:dyDescent="0.25">
      <c r="A21" s="3" t="str">
        <f>HYPERLINK("#'Inputs'!A1","Inputs")</f>
        <v>Inputs</v>
      </c>
      <c r="B21" s="4" t="s">
        <v>28</v>
      </c>
      <c r="C21" s="5" t="s">
        <v>24</v>
      </c>
    </row>
    <row r="22" ht="20" customHeight="1" spans="1:3" x14ac:dyDescent="0.25">
      <c r="A22" s="3" t="str">
        <f>HYPERLINK("#'CPI'!A1","CPI")</f>
        <v>CPI</v>
      </c>
      <c r="B22" s="4" t="s">
        <v>29</v>
      </c>
      <c r="C22" s="5" t="s">
        <v>24</v>
      </c>
    </row>
    <row r="23" ht="20" customHeight="1" spans="1:3" x14ac:dyDescent="0.25">
      <c r="A23" s="3" t="str">
        <f>HYPERLINK("#'Liability'!A1","Liability")</f>
        <v>Liability</v>
      </c>
      <c r="B23" s="4" t="s">
        <v>30</v>
      </c>
      <c r="C23" s="5" t="s">
        <v>24</v>
      </c>
    </row>
    <row r="24" ht="20" customHeight="1" spans="1:3" x14ac:dyDescent="0.25">
      <c r="A24" s="3" t="str">
        <f>HYPERLINK("#'Interest Walkthrough'!A1","Interest Walkthrough")</f>
        <v>Interest Walkthrough</v>
      </c>
      <c r="B24" s="4" t="s">
        <v>31</v>
      </c>
      <c r="C24" s="5" t="s">
        <v>26</v>
      </c>
    </row>
    <row r="25" ht="20" customHeight="1" spans="1:3" x14ac:dyDescent="0.25">
      <c r="A25" s="3" t="str">
        <f>HYPERLINK("#'ROU'!A1","ROU")</f>
        <v>ROU</v>
      </c>
      <c r="B25" s="4" t="s">
        <v>32</v>
      </c>
      <c r="C25" s="5" t="s">
        <v>24</v>
      </c>
    </row>
    <row r="26" ht="20" customHeight="1" spans="1:3" x14ac:dyDescent="0.25">
      <c r="A26" s="3" t="str">
        <f>HYPERLINK("#'Depreciation Walkthrough'!A1","Depreciation Walkthrough")</f>
        <v>Depreciation Walkthrough</v>
      </c>
      <c r="B26" s="4" t="s">
        <v>33</v>
      </c>
      <c r="C26" s="5" t="s">
        <v>26</v>
      </c>
    </row>
    <row r="27" ht="20" customHeight="1" spans="1:3" x14ac:dyDescent="0.25">
      <c r="A27" s="3" t="str">
        <f>HYPERLINK("#'Journal'!A1","Journal")</f>
        <v>Journal</v>
      </c>
      <c r="B27" s="4" t="s">
        <v>34</v>
      </c>
      <c r="C27" s="5" t="s">
        <v>24</v>
      </c>
    </row>
    <row r="28" ht="52" customHeight="1" spans="1:3" x14ac:dyDescent="0.25">
      <c r="A28" s="3" t="str">
        <f>HYPERLINK("#'PerMod_Reconciliations'!A1","PerMod_Reconciliations")</f>
        <v>PerMod_Reconciliations</v>
      </c>
      <c r="B28" s="4" t="s">
        <v>35</v>
      </c>
      <c r="C28" s="5" t="s">
        <v>26</v>
      </c>
    </row>
    <row r="29" ht="20" customHeight="1" spans="1:3" x14ac:dyDescent="0.25">
      <c r="A29" s="3" t="str">
        <f>HYPERLINK("#'Explain'!A1","Explain")</f>
        <v>Explain</v>
      </c>
      <c r="B29" s="4" t="s">
        <v>36</v>
      </c>
      <c r="C29" s="5" t="s">
        <v>26</v>
      </c>
    </row>
    <row r="30" ht="20" customHeight="1" spans="1:3" x14ac:dyDescent="0.25">
      <c r="A30" s="3" t="str">
        <f>HYPERLINK("#'Checks'!A1","Checks")</f>
        <v>Checks</v>
      </c>
      <c r="B30" s="4" t="s">
        <v>37</v>
      </c>
      <c r="C30" s="5" t="s">
        <v>26</v>
      </c>
    </row>
    <row r="31" ht="20" customHeight="1" spans="1:3" x14ac:dyDescent="0.25">
      <c r="A31" s="3" t="str">
        <f>HYPERLINK("#'Exceptions'!A1","Exceptions")</f>
        <v>Exceptions</v>
      </c>
      <c r="B31" s="4" t="s">
        <v>38</v>
      </c>
      <c r="C31" s="5" t="s">
        <v>24</v>
      </c>
    </row>
    <row r="32" ht="20" customHeight="1" spans="1:3" x14ac:dyDescent="0.25">
      <c r="A32" s="3" t="str">
        <f>HYPERLINK("#'Control Register'!A1","Control Register")</f>
        <v>Control Register</v>
      </c>
      <c r="B32" s="4" t="s">
        <v>39</v>
      </c>
      <c r="C32" s="5" t="s">
        <v>40</v>
      </c>
    </row>
    <row r="33" ht="20" customHeight="1" spans="1:3" x14ac:dyDescent="0.25">
      <c r="A33" s="3" t="str">
        <f>HYPERLINK("#'Control Evidence'!A1","Control Evidence")</f>
        <v>Control Evidence</v>
      </c>
      <c r="B33" s="4" t="s">
        <v>41</v>
      </c>
      <c r="C33" s="5" t="s">
        <v>26</v>
      </c>
    </row>
    <row r="34" ht="20" customHeight="1" spans="1:3" x14ac:dyDescent="0.25">
      <c r="A34" s="3" t="str">
        <f>HYPERLINK("#'Control Evidence Detail'!A1","Control Evidence Detail")</f>
        <v>Control Evidence Detail</v>
      </c>
      <c r="B34" s="4" t="s">
        <v>42</v>
      </c>
      <c r="C34" s="5" t="s">
        <v>40</v>
      </c>
    </row>
    <row r="35" ht="20" customHeight="1" spans="1:3" x14ac:dyDescent="0.25">
      <c r="A35" s="3" t="str">
        <f>HYPERLINK("#'Run Metadata'!A1","Run Metadata")</f>
        <v>Run Metadata</v>
      </c>
      <c r="B35" s="4" t="s">
        <v>43</v>
      </c>
      <c r="C35" s="5" t="s">
        <v>40</v>
      </c>
    </row>
    <row r="36" ht="20" customHeight="1" spans="1:3" x14ac:dyDescent="0.25">
      <c r="A36" s="3" t="str">
        <f>HYPERLINK("#'Modification Trace'!A1","Modification Trace")</f>
        <v>Modification Trace</v>
      </c>
      <c r="B36" s="4" t="s">
        <v>44</v>
      </c>
      <c r="C36" s="5" t="s">
        <v>45</v>
      </c>
    </row>
    <row r="37" ht="20" customHeight="1" spans="1:3" x14ac:dyDescent="0.25">
      <c r="A37" s="3" t="str">
        <f>HYPERLINK("#'CPI Event Trace'!A1","CPI Event Trace")</f>
        <v>CPI Event Trace</v>
      </c>
      <c r="B37" s="4" t="s">
        <v>46</v>
      </c>
      <c r="C37" s="5" t="s">
        <v>45</v>
      </c>
    </row>
    <row r="38" ht="20" customHeight="1" spans="1:3" x14ac:dyDescent="0.25">
      <c r="A38" s="3" t="str">
        <f>HYPERLINK("#'Disclaimer'!A1","Disclaimer")</f>
        <v>Disclaimer</v>
      </c>
      <c r="B38" s="4" t="s">
        <v>47</v>
      </c>
      <c r="C38" s="5" t="s">
        <v>48</v>
      </c>
    </row>
    <row r="39" ht="7" customHeight="1" spans="1:3" x14ac:dyDescent="0.25">
      <c r="A39" t="s">
        <v>1</v>
      </c>
      <c r="B39" t="s">
        <v>1</v>
      </c>
      <c r="C39" t="s">
        <v>1</v>
      </c>
    </row>
    <row r="40" ht="20" customHeight="1" spans="1:3" x14ac:dyDescent="0.25">
      <c r="A40" s="6" t="s">
        <v>49</v>
      </c>
      <c r="B40" s="6"/>
      <c r="C40" s="6"/>
    </row>
    <row r="41" ht="20" customHeight="1" spans="1:3" x14ac:dyDescent="0.25">
      <c r="A41" s="6" t="s">
        <v>50</v>
      </c>
      <c r="B41" s="6"/>
      <c r="C41" s="6"/>
    </row>
    <row r="42" ht="20" customHeight="1" spans="1:3" x14ac:dyDescent="0.25">
      <c r="A42" s="6" t="s">
        <v>51</v>
      </c>
      <c r="B42" s="6"/>
      <c r="C42" s="6"/>
    </row>
    <row r="43" ht="20" customHeight="1" spans="1:3" x14ac:dyDescent="0.25">
      <c r="A43" s="6" t="s">
        <v>52</v>
      </c>
      <c r="B43" s="6"/>
      <c r="C43" s="6"/>
    </row>
    <row r="44" ht="20" customHeight="1" spans="1:3" x14ac:dyDescent="0.25">
      <c r="A44" s="6" t="s">
        <v>53</v>
      </c>
      <c r="B44" s="6"/>
      <c r="C44" s="6"/>
    </row>
    <row r="45" ht="20" customHeight="1" spans="1:3" x14ac:dyDescent="0.25">
      <c r="A45" s="6" t="s">
        <v>54</v>
      </c>
      <c r="B45" s="6"/>
      <c r="C45" s="6"/>
    </row>
    <row r="46" ht="20" customHeight="1" spans="1:3" x14ac:dyDescent="0.25">
      <c r="A46" s="6" t="s">
        <v>55</v>
      </c>
      <c r="B46" s="6"/>
      <c r="C46" s="6"/>
    </row>
    <row r="47" ht="20" customHeight="1" spans="1:3" x14ac:dyDescent="0.25">
      <c r="A47" s="6" t="s">
        <v>56</v>
      </c>
      <c r="B47" s="6"/>
      <c r="C47" s="6"/>
    </row>
    <row r="48" ht="36" customHeight="1" spans="1:3" x14ac:dyDescent="0.25">
      <c r="A48" s="6" t="s">
        <v>57</v>
      </c>
      <c r="B48" s="6"/>
      <c r="C48" s="6"/>
    </row>
    <row r="49" ht="20" customHeight="1" spans="1:3" x14ac:dyDescent="0.25">
      <c r="A49" s="6" t="s">
        <v>58</v>
      </c>
      <c r="B49" s="6"/>
      <c r="C49" s="6"/>
    </row>
    <row r="50" ht="20" customHeight="1" spans="1:3" x14ac:dyDescent="0.25">
      <c r="A50" s="6" t="s">
        <v>59</v>
      </c>
      <c r="B50" s="6"/>
      <c r="C50" s="6"/>
    </row>
    <row r="51" ht="7" customHeight="1" spans="1:3" x14ac:dyDescent="0.25">
      <c r="A51" t="s">
        <v>1</v>
      </c>
      <c r="B51" t="s">
        <v>1</v>
      </c>
      <c r="C51" t="s">
        <v>1</v>
      </c>
    </row>
    <row r="52" ht="20" customHeight="1" spans="1:3" x14ac:dyDescent="0.25">
      <c r="A52" s="6" t="s">
        <v>60</v>
      </c>
      <c r="B52" s="6"/>
      <c r="C52" s="6"/>
    </row>
    <row r="53" ht="20" customHeight="1" spans="1:3" x14ac:dyDescent="0.25">
      <c r="A53" s="3" t="s">
        <v>61</v>
      </c>
      <c r="B53" s="4" t="s">
        <v>62</v>
      </c>
      <c r="C53" s="5" t="s">
        <v>1</v>
      </c>
    </row>
    <row r="54" ht="36" customHeight="1" spans="1:3" x14ac:dyDescent="0.25">
      <c r="A54" s="3" t="s">
        <v>63</v>
      </c>
      <c r="B54" s="4" t="s">
        <v>64</v>
      </c>
      <c r="C54" s="5" t="s">
        <v>1</v>
      </c>
    </row>
    <row r="55" ht="36" customHeight="1" spans="1:3" x14ac:dyDescent="0.25">
      <c r="A55" s="3" t="s">
        <v>65</v>
      </c>
      <c r="B55" s="4" t="s">
        <v>66</v>
      </c>
      <c r="C55" s="5" t="s">
        <v>1</v>
      </c>
    </row>
    <row r="56" ht="20" customHeight="1" spans="1:3" x14ac:dyDescent="0.25">
      <c r="A56" s="3" t="s">
        <v>67</v>
      </c>
      <c r="B56" s="4" t="s">
        <v>68</v>
      </c>
      <c r="C56" s="5" t="s">
        <v>1</v>
      </c>
    </row>
    <row r="57" ht="7" customHeight="1" spans="1:3" x14ac:dyDescent="0.25">
      <c r="A57" t="s">
        <v>1</v>
      </c>
      <c r="B57" t="s">
        <v>1</v>
      </c>
      <c r="C57" t="s">
        <v>1</v>
      </c>
    </row>
    <row r="58" ht="20" customHeight="1" spans="1:3" x14ac:dyDescent="0.25">
      <c r="A58" s="6" t="s">
        <v>69</v>
      </c>
      <c r="B58" s="6"/>
      <c r="C58" s="6"/>
    </row>
    <row r="59" ht="20" customHeight="1" spans="1:3" x14ac:dyDescent="0.25">
      <c r="A59" s="6" t="s">
        <v>70</v>
      </c>
      <c r="B59" s="6"/>
      <c r="C59" s="6"/>
    </row>
    <row r="60" ht="20" customHeight="1" spans="1:3" x14ac:dyDescent="0.25">
      <c r="A60" s="6" t="s">
        <v>71</v>
      </c>
      <c r="B60" s="6"/>
      <c r="C60" s="6"/>
    </row>
    <row r="61" ht="7" customHeight="1" spans="1:3" x14ac:dyDescent="0.25">
      <c r="A61" t="s">
        <v>1</v>
      </c>
      <c r="B61" t="s">
        <v>1</v>
      </c>
      <c r="C61" t="s">
        <v>1</v>
      </c>
    </row>
    <row r="62" ht="20" customHeight="1" spans="1:3" x14ac:dyDescent="0.25">
      <c r="A62" s="6" t="s">
        <v>72</v>
      </c>
      <c r="B62" s="6"/>
      <c r="C62" s="6"/>
    </row>
    <row r="63" ht="68" customHeight="1" spans="1:3" x14ac:dyDescent="0.25">
      <c r="A63" s="3" t="s">
        <v>73</v>
      </c>
      <c r="B63" s="4" t="s">
        <v>74</v>
      </c>
      <c r="C63" s="5" t="s">
        <v>1</v>
      </c>
    </row>
    <row r="64" ht="68" customHeight="1" spans="1:3" x14ac:dyDescent="0.25">
      <c r="A64" s="3" t="s">
        <v>75</v>
      </c>
      <c r="B64" s="4" t="s">
        <v>76</v>
      </c>
      <c r="C64" s="5" t="s">
        <v>1</v>
      </c>
    </row>
    <row r="65" ht="36" customHeight="1" spans="1:3" x14ac:dyDescent="0.25">
      <c r="A65" s="3" t="s">
        <v>77</v>
      </c>
      <c r="B65" s="4" t="s">
        <v>78</v>
      </c>
      <c r="C65" s="5" t="s">
        <v>1</v>
      </c>
    </row>
    <row r="66" ht="36" customHeight="1" spans="1:3" x14ac:dyDescent="0.25">
      <c r="A66" s="3" t="s">
        <v>79</v>
      </c>
      <c r="B66" s="4" t="s">
        <v>80</v>
      </c>
      <c r="C66" s="5" t="s">
        <v>1</v>
      </c>
    </row>
    <row r="67" ht="36" customHeight="1" spans="1:3" x14ac:dyDescent="0.25">
      <c r="A67" s="3" t="s">
        <v>81</v>
      </c>
      <c r="B67" s="4" t="s">
        <v>82</v>
      </c>
      <c r="C67" s="5" t="s">
        <v>1</v>
      </c>
    </row>
    <row r="68" ht="68" customHeight="1" spans="1:3" x14ac:dyDescent="0.25">
      <c r="A68" s="3" t="s">
        <v>83</v>
      </c>
      <c r="B68" s="4" t="s">
        <v>84</v>
      </c>
      <c r="C68" s="5" t="s">
        <v>1</v>
      </c>
    </row>
    <row r="69" ht="36" customHeight="1" spans="1:3" x14ac:dyDescent="0.25">
      <c r="A69" s="3" t="s">
        <v>85</v>
      </c>
      <c r="B69" s="4" t="s">
        <v>86</v>
      </c>
      <c r="C69" s="5" t="s">
        <v>1</v>
      </c>
    </row>
    <row r="70" ht="52" customHeight="1" spans="1:3" x14ac:dyDescent="0.25">
      <c r="A70" s="3" t="s">
        <v>87</v>
      </c>
      <c r="B70" s="4" t="s">
        <v>88</v>
      </c>
      <c r="C70" s="5" t="s">
        <v>1</v>
      </c>
    </row>
    <row r="71" ht="84" customHeight="1" spans="1:3" x14ac:dyDescent="0.25">
      <c r="A71" s="3" t="s">
        <v>89</v>
      </c>
      <c r="B71" s="4" t="s">
        <v>90</v>
      </c>
      <c r="C71" s="5" t="s">
        <v>1</v>
      </c>
    </row>
    <row r="72" ht="68" customHeight="1" spans="1:3" x14ac:dyDescent="0.25">
      <c r="A72" s="3" t="s">
        <v>91</v>
      </c>
      <c r="B72" s="4" t="s">
        <v>92</v>
      </c>
      <c r="C72" s="5" t="s">
        <v>1</v>
      </c>
    </row>
    <row r="73" ht="36" customHeight="1" spans="1:3" x14ac:dyDescent="0.25">
      <c r="A73" s="3" t="s">
        <v>93</v>
      </c>
      <c r="B73" s="4" t="s">
        <v>94</v>
      </c>
      <c r="C73" s="5" t="s">
        <v>1</v>
      </c>
    </row>
    <row r="74" ht="52" customHeight="1" spans="1:3" x14ac:dyDescent="0.25">
      <c r="A74" s="3" t="s">
        <v>95</v>
      </c>
      <c r="B74" s="4" t="s">
        <v>96</v>
      </c>
      <c r="C74" s="5" t="s">
        <v>1</v>
      </c>
    </row>
    <row r="75" ht="7" customHeight="1" spans="1:3" x14ac:dyDescent="0.25">
      <c r="A75" t="s">
        <v>1</v>
      </c>
      <c r="B75" t="s">
        <v>1</v>
      </c>
      <c r="C75" t="s">
        <v>1</v>
      </c>
    </row>
    <row r="76" ht="20" customHeight="1" spans="1:3" x14ac:dyDescent="0.25">
      <c r="A76" s="6" t="s">
        <v>97</v>
      </c>
      <c r="B76" s="6"/>
      <c r="C76" s="6"/>
    </row>
    <row r="77" ht="20" customHeight="1" spans="1:3" x14ac:dyDescent="0.25">
      <c r="A77" s="6" t="s">
        <v>98</v>
      </c>
      <c r="B77" s="6"/>
      <c r="C77" s="6"/>
    </row>
  </sheetData>
  <mergeCells count="20">
    <mergeCell ref="A6:C6"/>
    <mergeCell ref="A16:C16"/>
    <mergeCell ref="A40:C40"/>
    <mergeCell ref="A41:C41"/>
    <mergeCell ref="A42:C42"/>
    <mergeCell ref="A43:C43"/>
    <mergeCell ref="A44:C44"/>
    <mergeCell ref="A45:C45"/>
    <mergeCell ref="A46:C46"/>
    <mergeCell ref="A47:C47"/>
    <mergeCell ref="A48:C48"/>
    <mergeCell ref="A49:C49"/>
    <mergeCell ref="A50:C50"/>
    <mergeCell ref="A52:C52"/>
    <mergeCell ref="A58:C58"/>
    <mergeCell ref="A59:C59"/>
    <mergeCell ref="A60:C60"/>
    <mergeCell ref="A62:C62"/>
    <mergeCell ref="A76:C76"/>
    <mergeCell ref="A77:C77"/>
  </mergeCells>
  <pageMargins left="0.35" right="0.35" top="0.55" bottom="0.55" header="0.2" footer="0.2"/>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pageSetUpPr fitToPage="1"/>
  </sheetPr>
  <dimension ref="A1:B43"/>
  <sheetViews>
    <sheetView workbookViewId="0" showGridLines="0"/>
  </sheetViews>
  <sheetFormatPr defaultRowHeight="20" outlineLevelRow="0" outlineLevelCol="0" x14ac:dyDescent="55" customHeight="1"/>
  <cols>
    <col min="1" max="1" width="56" customWidth="1"/>
    <col min="2" max="2" width="20" customWidth="1"/>
  </cols>
  <sheetData>
    <row r="1" ht="30" customHeight="1" spans="1:2" x14ac:dyDescent="0.25">
      <c r="A1" s="1" t="s">
        <v>99</v>
      </c>
      <c r="B1" s="2"/>
    </row>
    <row r="2" ht="7" customHeight="1" spans="1:2" x14ac:dyDescent="0.25">
      <c r="A2" t="s">
        <v>1</v>
      </c>
      <c r="B2" t="s">
        <v>1</v>
      </c>
    </row>
    <row r="3" ht="20" customHeight="1" spans="1:2" x14ac:dyDescent="0.25">
      <c r="A3" s="6" t="s">
        <v>100</v>
      </c>
      <c r="B3" s="6"/>
    </row>
    <row r="4" ht="20" customHeight="1" spans="1:2" x14ac:dyDescent="0.25">
      <c r="A4" s="3" t="s">
        <v>101</v>
      </c>
      <c r="B4" s="9">
        <v>599259.9605104219</v>
      </c>
    </row>
    <row r="5" ht="20" customHeight="1" spans="1:2" x14ac:dyDescent="0.25">
      <c r="A5" s="3" t="s">
        <v>102</v>
      </c>
      <c r="B5" s="9">
        <v>101004.18376902354</v>
      </c>
    </row>
    <row r="6" ht="20" customHeight="1" spans="1:2" x14ac:dyDescent="0.25">
      <c r="A6" s="3" t="s">
        <v>103</v>
      </c>
      <c r="B6" s="9">
        <v>742368</v>
      </c>
    </row>
    <row r="7" ht="20" customHeight="1" spans="1:2" x14ac:dyDescent="0.25">
      <c r="A7" s="3" t="s">
        <v>104</v>
      </c>
      <c r="B7" s="9">
        <v>20502.11</v>
      </c>
    </row>
    <row r="8" ht="20" customHeight="1" spans="1:2" x14ac:dyDescent="0.25">
      <c r="A8" s="3" t="s">
        <v>105</v>
      </c>
      <c r="B8" s="9">
        <v>12652.4</v>
      </c>
    </row>
    <row r="9" ht="20" customHeight="1" spans="1:2" x14ac:dyDescent="0.25">
      <c r="A9" s="3" t="s">
        <v>106</v>
      </c>
      <c r="B9" s="9">
        <v>8949.35</v>
      </c>
    </row>
    <row r="10" ht="20" customHeight="1" spans="1:2" x14ac:dyDescent="0.25">
      <c r="A10" s="3" t="s">
        <v>107</v>
      </c>
      <c r="B10" s="9">
        <v>0</v>
      </c>
    </row>
    <row r="11" ht="7" customHeight="1" spans="1:2" x14ac:dyDescent="0.25">
      <c r="A11" t="s">
        <v>1</v>
      </c>
      <c r="B11" t="s">
        <v>1</v>
      </c>
    </row>
    <row r="12" ht="20" customHeight="1" spans="1:2" x14ac:dyDescent="0.25">
      <c r="A12" s="6" t="s">
        <v>108</v>
      </c>
      <c r="B12" s="6"/>
    </row>
    <row r="13" ht="20" customHeight="1" spans="1:2" x14ac:dyDescent="0.25">
      <c r="A13" s="3" t="s">
        <v>109</v>
      </c>
      <c r="B13" s="9">
        <v>599259.9605104219</v>
      </c>
    </row>
    <row r="14" ht="20" customHeight="1" spans="1:2" x14ac:dyDescent="0.25">
      <c r="A14" s="3" t="s">
        <v>110</v>
      </c>
      <c r="B14" s="9">
        <v>602759.9605104219</v>
      </c>
    </row>
    <row r="15" ht="7" customHeight="1" spans="1:2" x14ac:dyDescent="0.25">
      <c r="A15" t="s">
        <v>1</v>
      </c>
      <c r="B15" t="s">
        <v>1</v>
      </c>
    </row>
    <row r="16" ht="20" customHeight="1" spans="1:2" x14ac:dyDescent="0.25">
      <c r="A16" s="6" t="s">
        <v>111</v>
      </c>
      <c r="B16" s="6"/>
    </row>
    <row r="17" ht="20" customHeight="1" spans="1:2" x14ac:dyDescent="0.25">
      <c r="A17" s="3" t="s">
        <v>112</v>
      </c>
      <c r="B17" s="9">
        <v>742368</v>
      </c>
    </row>
    <row r="18" ht="20" customHeight="1" spans="1:2" x14ac:dyDescent="0.25">
      <c r="A18" s="3" t="s">
        <v>113</v>
      </c>
      <c r="B18" s="9">
        <v>143108.03948957814</v>
      </c>
    </row>
    <row r="19" ht="20" customHeight="1" spans="1:2" x14ac:dyDescent="0.25">
      <c r="A19" s="3" t="s">
        <v>114</v>
      </c>
      <c r="B19" s="9">
        <v>-599259.9605104219</v>
      </c>
    </row>
    <row r="20" ht="20" customHeight="1" spans="1:2" x14ac:dyDescent="0.25">
      <c r="A20" s="3" t="s">
        <v>115</v>
      </c>
      <c r="B20" s="9">
        <v>0</v>
      </c>
    </row>
    <row r="21" ht="7" customHeight="1" spans="1:2" x14ac:dyDescent="0.25">
      <c r="A21" t="s">
        <v>1</v>
      </c>
      <c r="B21" t="s">
        <v>1</v>
      </c>
    </row>
    <row r="22" ht="20" customHeight="1" spans="1:2" x14ac:dyDescent="0.25">
      <c r="A22" s="6" t="s">
        <v>116</v>
      </c>
      <c r="B22" s="6"/>
    </row>
    <row r="23" ht="20" customHeight="1" spans="1:2" x14ac:dyDescent="0.25">
      <c r="A23" s="3" t="s">
        <v>101</v>
      </c>
      <c r="B23" s="9">
        <v>602759.9605104219</v>
      </c>
    </row>
    <row r="24" ht="20" customHeight="1" spans="1:2" x14ac:dyDescent="0.25">
      <c r="A24" s="3" t="s">
        <v>117</v>
      </c>
      <c r="B24" s="9">
        <v>644863.8162309758</v>
      </c>
    </row>
    <row r="25" ht="20" customHeight="1" spans="1:2" x14ac:dyDescent="0.25">
      <c r="A25" s="3" t="s">
        <v>104</v>
      </c>
      <c r="B25" s="9">
        <v>20502.11</v>
      </c>
    </row>
    <row r="26" ht="20" customHeight="1" spans="1:2" x14ac:dyDescent="0.25">
      <c r="A26" s="3" t="s">
        <v>105</v>
      </c>
      <c r="B26" s="9">
        <v>12652.4</v>
      </c>
    </row>
    <row r="27" ht="20" customHeight="1" spans="1:2" x14ac:dyDescent="0.25">
      <c r="A27" s="3" t="s">
        <v>106</v>
      </c>
      <c r="B27" s="9">
        <v>8949.35</v>
      </c>
    </row>
    <row r="28" ht="20" customHeight="1" spans="1:2" x14ac:dyDescent="0.25">
      <c r="A28" s="3" t="s">
        <v>107</v>
      </c>
      <c r="B28" s="9">
        <v>0</v>
      </c>
    </row>
    <row r="29" ht="7" customHeight="1" spans="1:2" x14ac:dyDescent="0.25">
      <c r="A29" t="s">
        <v>1</v>
      </c>
      <c r="B29" t="s">
        <v>1</v>
      </c>
    </row>
    <row r="30" ht="20" customHeight="1" spans="1:2" x14ac:dyDescent="0.25">
      <c r="A30" s="6" t="s">
        <v>118</v>
      </c>
      <c r="B30" s="6"/>
    </row>
    <row r="31" ht="20" customHeight="1" spans="1:2" x14ac:dyDescent="0.25">
      <c r="A31" s="3" t="s">
        <v>119</v>
      </c>
      <c r="B31" s="9">
        <v>42103.855720554595</v>
      </c>
    </row>
    <row r="32" ht="20" customHeight="1" spans="1:2" x14ac:dyDescent="0.25">
      <c r="A32" s="3" t="s">
        <v>120</v>
      </c>
      <c r="B32" s="9">
        <v>0</v>
      </c>
    </row>
    <row r="33" ht="20" customHeight="1" spans="1:2" x14ac:dyDescent="0.25">
      <c r="A33" s="3" t="s">
        <v>121</v>
      </c>
      <c r="B33" s="9">
        <v>644863.8162309758</v>
      </c>
    </row>
    <row r="34" ht="20" customHeight="1" spans="1:2" x14ac:dyDescent="0.25">
      <c r="A34" s="3" t="s">
        <v>122</v>
      </c>
      <c r="B34" s="9">
        <v>-602759.9605104212</v>
      </c>
    </row>
    <row r="35" ht="20" customHeight="1" spans="1:2" x14ac:dyDescent="0.25">
      <c r="A35" s="3" t="s">
        <v>115</v>
      </c>
      <c r="B35" s="9">
        <v>0</v>
      </c>
    </row>
    <row r="36" ht="7" customHeight="1" spans="1:2" x14ac:dyDescent="0.25">
      <c r="A36" t="s">
        <v>1</v>
      </c>
      <c r="B36" t="s">
        <v>1</v>
      </c>
    </row>
    <row r="37" ht="20" customHeight="1" spans="1:2" x14ac:dyDescent="0.25">
      <c r="A37" s="6" t="s">
        <v>123</v>
      </c>
      <c r="B37" s="6"/>
    </row>
    <row r="38" ht="20" customHeight="1" spans="1:2" x14ac:dyDescent="0.25">
      <c r="A38" s="3" t="s">
        <v>124</v>
      </c>
      <c r="B38" s="9">
        <v>644863.8162309758</v>
      </c>
    </row>
    <row r="39" ht="20" customHeight="1" spans="1:2" x14ac:dyDescent="0.25">
      <c r="A39" s="3" t="s">
        <v>125</v>
      </c>
      <c r="B39" s="9">
        <v>644863.8162309758</v>
      </c>
    </row>
    <row r="40" ht="20" customHeight="1" spans="1:2" x14ac:dyDescent="0.25">
      <c r="A40" s="3" t="s">
        <v>126</v>
      </c>
      <c r="B40" s="9">
        <v>644863.8162309758</v>
      </c>
    </row>
    <row r="41" ht="20" customHeight="1" spans="1:2" x14ac:dyDescent="0.25">
      <c r="A41" s="3" t="s">
        <v>127</v>
      </c>
      <c r="B41" s="9">
        <v>0</v>
      </c>
    </row>
    <row r="42" ht="7" customHeight="1" spans="1:2" x14ac:dyDescent="0.25">
      <c r="A42" t="s">
        <v>1</v>
      </c>
      <c r="B42" t="s">
        <v>1</v>
      </c>
    </row>
    <row r="43" ht="20" customHeight="1" spans="1:2" x14ac:dyDescent="0.25">
      <c r="A43" s="3" t="s">
        <v>128</v>
      </c>
      <c r="B43" s="9">
        <v>0</v>
      </c>
    </row>
  </sheetData>
  <mergeCells count="6">
    <mergeCell ref="A3:B3"/>
    <mergeCell ref="A12:B12"/>
    <mergeCell ref="A16:B16"/>
    <mergeCell ref="A22:B22"/>
    <mergeCell ref="A30:B30"/>
    <mergeCell ref="A37:B37"/>
  </mergeCells>
  <pageMargins left="0.35" right="0.35" top="0.55" bottom="0.55" header="0.2" footer="0.2"/>
  <pageSetup orientation="landscape" horizontalDpi="4294967295" verticalDpi="4294967295" scale="100"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pageSetUpPr fitToPage="1"/>
  </sheetPr>
  <dimension ref="A1:F9"/>
  <sheetViews>
    <sheetView workbookViewId="0" showGridLines="0"/>
  </sheetViews>
  <sheetFormatPr defaultRowHeight="20" outlineLevelRow="0" outlineLevelCol="0" x14ac:dyDescent="55" customHeight="1"/>
  <cols>
    <col min="1" max="1" width="30" customWidth="1"/>
    <col min="2" max="2" width="40" customWidth="1"/>
    <col min="3" max="3" width="10" customWidth="1"/>
    <col min="4" max="5" width="84" customWidth="1"/>
    <col min="6" max="6" width="14" customWidth="1"/>
  </cols>
  <sheetData>
    <row r="1" ht="30" customHeight="1" spans="1:6" x14ac:dyDescent="0.25">
      <c r="A1" s="1" t="s">
        <v>129</v>
      </c>
      <c r="B1" s="2"/>
      <c r="C1" s="2"/>
      <c r="D1" s="2"/>
      <c r="E1" s="2"/>
      <c r="F1" s="2"/>
    </row>
    <row r="2" ht="7" customHeight="1" spans="1:6" x14ac:dyDescent="0.25">
      <c r="A2" t="s">
        <v>1</v>
      </c>
      <c r="B2" t="s">
        <v>1</v>
      </c>
      <c r="C2" t="s">
        <v>1</v>
      </c>
      <c r="D2" t="s">
        <v>1</v>
      </c>
      <c r="E2" t="s">
        <v>1</v>
      </c>
      <c r="F2" t="s">
        <v>1</v>
      </c>
    </row>
    <row r="3" ht="20" customHeight="1" spans="1:6" x14ac:dyDescent="0.25">
      <c r="A3" s="3" t="s">
        <v>5</v>
      </c>
      <c r="B3" s="4" t="s">
        <v>6</v>
      </c>
      <c r="C3" s="5" t="s">
        <v>1</v>
      </c>
      <c r="D3" s="5" t="s">
        <v>1</v>
      </c>
      <c r="E3" s="5" t="s">
        <v>1</v>
      </c>
      <c r="F3" s="5" t="s">
        <v>1</v>
      </c>
    </row>
    <row r="4" ht="20" customHeight="1" spans="1:6" x14ac:dyDescent="0.25">
      <c r="A4" s="3" t="s">
        <v>11</v>
      </c>
      <c r="B4" s="7" t="s">
        <v>12</v>
      </c>
      <c r="C4" s="5" t="s">
        <v>1</v>
      </c>
      <c r="D4" s="5" t="s">
        <v>1</v>
      </c>
      <c r="E4" s="5" t="s">
        <v>1</v>
      </c>
      <c r="F4" s="5" t="s">
        <v>1</v>
      </c>
    </row>
    <row r="5" ht="20" customHeight="1" spans="1:6" x14ac:dyDescent="0.25">
      <c r="A5" s="3" t="s">
        <v>13</v>
      </c>
      <c r="B5" s="8" t="s">
        <v>14</v>
      </c>
      <c r="C5" s="5" t="s">
        <v>1</v>
      </c>
      <c r="D5" s="5" t="s">
        <v>1</v>
      </c>
      <c r="E5" s="5" t="s">
        <v>1</v>
      </c>
      <c r="F5" s="5" t="s">
        <v>1</v>
      </c>
    </row>
    <row r="6" ht="20" customHeight="1" spans="1:6" x14ac:dyDescent="0.25">
      <c r="A6" s="3" t="s">
        <v>130</v>
      </c>
      <c r="B6" s="4" t="s">
        <v>16</v>
      </c>
      <c r="C6" s="5" t="s">
        <v>1</v>
      </c>
      <c r="D6" s="5" t="s">
        <v>1</v>
      </c>
      <c r="E6" s="5" t="s">
        <v>1</v>
      </c>
      <c r="F6" s="5" t="s">
        <v>1</v>
      </c>
    </row>
    <row r="7" ht="7" customHeight="1" spans="1:6" x14ac:dyDescent="0.25">
      <c r="A7" t="s">
        <v>1</v>
      </c>
      <c r="B7" t="s">
        <v>1</v>
      </c>
      <c r="C7" t="s">
        <v>1</v>
      </c>
      <c r="D7" t="s">
        <v>1</v>
      </c>
      <c r="E7" t="s">
        <v>1</v>
      </c>
      <c r="F7" t="s">
        <v>1</v>
      </c>
    </row>
    <row r="8" ht="24" customHeight="1" spans="1:6" x14ac:dyDescent="0.25">
      <c r="A8" s="10" t="s">
        <v>131</v>
      </c>
      <c r="B8" s="10" t="s">
        <v>132</v>
      </c>
      <c r="C8" s="11" t="s">
        <v>133</v>
      </c>
      <c r="D8" s="10" t="s">
        <v>134</v>
      </c>
      <c r="E8" s="10" t="s">
        <v>135</v>
      </c>
      <c r="F8" s="10" t="s">
        <v>136</v>
      </c>
    </row>
    <row r="9" ht="36" customHeight="1" spans="1:6" x14ac:dyDescent="0.25">
      <c r="A9" s="4" t="s">
        <v>137</v>
      </c>
      <c r="B9" s="4" t="s">
        <v>1</v>
      </c>
      <c r="C9" s="8" t="s">
        <v>138</v>
      </c>
      <c r="D9" s="4" t="s">
        <v>139</v>
      </c>
      <c r="E9" s="4" t="s">
        <v>140</v>
      </c>
      <c r="F9" s="12" t="s">
        <v>141</v>
      </c>
    </row>
  </sheetData>
  <pageMargins left="0.35" right="0.35" top="0.55" bottom="0.55" header="0.2" footer="0.2"/>
  <pageSetup orientation="landscape" horizontalDpi="4294967295" verticalDpi="4294967295" scale="100"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44"/>
  <sheetViews>
    <sheetView workbookViewId="0" showGridLines="0"/>
  </sheetViews>
  <sheetFormatPr defaultRowHeight="20" outlineLevelRow="0" outlineLevelCol="0" x14ac:dyDescent="55" customHeight="1"/>
  <cols>
    <col min="1" max="1" width="42" customWidth="1"/>
    <col min="2" max="2" width="64" customWidth="1"/>
  </cols>
  <sheetData>
    <row r="1" ht="30" customHeight="1" spans="1:2" x14ac:dyDescent="0.25">
      <c r="A1" s="1" t="s">
        <v>142</v>
      </c>
      <c r="B1" s="2"/>
    </row>
    <row r="2" ht="7" customHeight="1" spans="1:2" x14ac:dyDescent="0.25">
      <c r="A2" t="s">
        <v>1</v>
      </c>
      <c r="B2" t="s">
        <v>1</v>
      </c>
    </row>
    <row r="3" ht="20" customHeight="1" spans="1:2" x14ac:dyDescent="0.25">
      <c r="A3" s="3" t="s">
        <v>5</v>
      </c>
      <c r="B3" s="4" t="s">
        <v>6</v>
      </c>
    </row>
    <row r="4" ht="20" customHeight="1" spans="1:2" x14ac:dyDescent="0.25">
      <c r="A4" s="3" t="s">
        <v>7</v>
      </c>
      <c r="B4" s="4" t="s">
        <v>8</v>
      </c>
    </row>
    <row r="5" ht="20" customHeight="1" spans="1:2" x14ac:dyDescent="0.25">
      <c r="A5" s="3" t="s">
        <v>143</v>
      </c>
      <c r="B5" s="13">
        <v>46023</v>
      </c>
    </row>
    <row r="6" ht="20" customHeight="1" spans="1:2" x14ac:dyDescent="0.25">
      <c r="A6" s="3" t="s">
        <v>144</v>
      </c>
      <c r="B6" s="13">
        <v>47848</v>
      </c>
    </row>
    <row r="7" ht="20" customHeight="1" spans="1:2" x14ac:dyDescent="0.25">
      <c r="A7" s="3" t="s">
        <v>145</v>
      </c>
      <c r="B7" s="9">
        <v>12000</v>
      </c>
    </row>
    <row r="8" ht="20" customHeight="1" spans="1:2" x14ac:dyDescent="0.25">
      <c r="A8" s="3" t="s">
        <v>146</v>
      </c>
      <c r="B8" s="4" t="s">
        <v>147</v>
      </c>
    </row>
    <row r="9" ht="20" customHeight="1" spans="1:2" x14ac:dyDescent="0.25">
      <c r="A9" s="3" t="s">
        <v>148</v>
      </c>
      <c r="B9" s="4" t="s">
        <v>149</v>
      </c>
    </row>
    <row r="10" ht="20" customHeight="1" spans="1:2" x14ac:dyDescent="0.25">
      <c r="A10" s="3" t="s">
        <v>150</v>
      </c>
      <c r="B10" s="14">
        <v>0.06</v>
      </c>
    </row>
    <row r="11" ht="7" customHeight="1" spans="1:2" x14ac:dyDescent="0.25">
      <c r="A11" t="s">
        <v>1</v>
      </c>
      <c r="B11" t="s">
        <v>1</v>
      </c>
    </row>
    <row r="12" ht="20" customHeight="1" spans="1:2" x14ac:dyDescent="0.25">
      <c r="A12" s="6" t="s">
        <v>151</v>
      </c>
      <c r="B12" s="6"/>
    </row>
    <row r="13" ht="20" customHeight="1" spans="1:2" x14ac:dyDescent="0.25">
      <c r="A13" s="3" t="s">
        <v>152</v>
      </c>
      <c r="B13" s="15">
        <v>60</v>
      </c>
    </row>
    <row r="14" ht="20" customHeight="1" spans="1:2" x14ac:dyDescent="0.25">
      <c r="A14" s="3" t="s">
        <v>153</v>
      </c>
      <c r="B14" s="9">
        <v>599259.9605104219</v>
      </c>
    </row>
    <row r="15" ht="20" customHeight="1" spans="1:2" x14ac:dyDescent="0.25">
      <c r="A15" s="3" t="s">
        <v>154</v>
      </c>
      <c r="B15" s="16">
        <v>0.004867550565343048</v>
      </c>
    </row>
    <row r="16" ht="7" customHeight="1" spans="1:2" x14ac:dyDescent="0.25">
      <c r="A16" t="s">
        <v>1</v>
      </c>
      <c r="B16" t="s">
        <v>1</v>
      </c>
    </row>
    <row r="17" ht="20" customHeight="1" spans="1:2" x14ac:dyDescent="0.25">
      <c r="A17" s="6" t="s">
        <v>155</v>
      </c>
      <c r="B17" s="6"/>
    </row>
    <row r="18" ht="20" customHeight="1" spans="1:2" x14ac:dyDescent="0.25">
      <c r="A18" s="3" t="s">
        <v>156</v>
      </c>
      <c r="B18" s="9">
        <v>0</v>
      </c>
    </row>
    <row r="19" ht="20" customHeight="1" spans="1:2" x14ac:dyDescent="0.25">
      <c r="A19" s="3" t="s">
        <v>157</v>
      </c>
      <c r="B19" s="4" t="s">
        <v>158</v>
      </c>
    </row>
    <row r="20" ht="20" customHeight="1" spans="1:2" x14ac:dyDescent="0.25">
      <c r="A20" s="6" t="s">
        <v>159</v>
      </c>
      <c r="B20" s="6"/>
    </row>
    <row r="21" ht="20" customHeight="1" spans="1:2" x14ac:dyDescent="0.25">
      <c r="A21" s="3" t="s">
        <v>160</v>
      </c>
      <c r="B21" s="7" t="s">
        <v>161</v>
      </c>
    </row>
    <row r="22" ht="7" customHeight="1" spans="1:2" x14ac:dyDescent="0.25">
      <c r="A22" t="s">
        <v>1</v>
      </c>
      <c r="B22" t="s">
        <v>1</v>
      </c>
    </row>
    <row r="23" ht="20" customHeight="1" spans="1:2" x14ac:dyDescent="0.25">
      <c r="A23" s="6" t="s">
        <v>162</v>
      </c>
      <c r="B23" s="6"/>
    </row>
    <row r="24" ht="20" customHeight="1" spans="1:2" x14ac:dyDescent="0.25">
      <c r="A24" s="3" t="s">
        <v>162</v>
      </c>
      <c r="B24" s="9">
        <v>3500</v>
      </c>
    </row>
    <row r="25" ht="20" customHeight="1" spans="1:2" x14ac:dyDescent="0.25">
      <c r="A25" s="3" t="s">
        <v>163</v>
      </c>
      <c r="B25" s="7" t="s">
        <v>164</v>
      </c>
    </row>
    <row r="26" ht="7" customHeight="1" spans="1:2" x14ac:dyDescent="0.25">
      <c r="A26" t="s">
        <v>1</v>
      </c>
      <c r="B26" t="s">
        <v>1</v>
      </c>
    </row>
    <row r="27" ht="20" customHeight="1" spans="1:2" x14ac:dyDescent="0.25">
      <c r="A27" s="6" t="s">
        <v>165</v>
      </c>
      <c r="B27" s="6"/>
    </row>
    <row r="28" ht="20" customHeight="1" spans="1:2" x14ac:dyDescent="0.25">
      <c r="A28" s="3" t="s">
        <v>166</v>
      </c>
      <c r="B28" s="15">
        <v>2</v>
      </c>
    </row>
    <row r="29" ht="20" customHeight="1" spans="1:2" x14ac:dyDescent="0.25">
      <c r="A29" s="3" t="s">
        <v>167</v>
      </c>
      <c r="B29" s="15">
        <v>2</v>
      </c>
    </row>
    <row r="30" ht="20" customHeight="1" spans="1:2" x14ac:dyDescent="0.25">
      <c r="A30" s="3" t="s">
        <v>168</v>
      </c>
      <c r="B30" s="13">
        <v>46082</v>
      </c>
    </row>
    <row r="31" ht="7" customHeight="1" spans="1:2" x14ac:dyDescent="0.25">
      <c r="A31" t="s">
        <v>1</v>
      </c>
      <c r="B31" t="s">
        <v>1</v>
      </c>
    </row>
    <row r="32" ht="20" customHeight="1" spans="1:2" x14ac:dyDescent="0.25">
      <c r="A32" s="6" t="s">
        <v>169</v>
      </c>
      <c r="B32" s="6"/>
    </row>
    <row r="33" ht="20" customHeight="1" spans="1:2" x14ac:dyDescent="0.25">
      <c r="A33" s="3" t="s">
        <v>170</v>
      </c>
      <c r="B33" s="9">
        <v>0</v>
      </c>
    </row>
    <row r="34" ht="20" customHeight="1" spans="1:2" x14ac:dyDescent="0.25">
      <c r="A34" s="3" t="s">
        <v>171</v>
      </c>
      <c r="B34" s="4" t="s">
        <v>158</v>
      </c>
    </row>
    <row r="35" ht="20" customHeight="1" spans="1:2" x14ac:dyDescent="0.25">
      <c r="A35" s="3" t="s">
        <v>172</v>
      </c>
      <c r="B35" s="9">
        <v>0</v>
      </c>
    </row>
    <row r="36" ht="20" customHeight="1" spans="1:2" x14ac:dyDescent="0.25">
      <c r="A36" s="3" t="s">
        <v>173</v>
      </c>
      <c r="B36" s="9">
        <v>0</v>
      </c>
    </row>
    <row r="37" ht="20" customHeight="1" spans="1:2" x14ac:dyDescent="0.25">
      <c r="A37" s="3" t="s">
        <v>174</v>
      </c>
      <c r="B37" s="7" t="s">
        <v>161</v>
      </c>
    </row>
    <row r="38" ht="7" customHeight="1" spans="1:2" x14ac:dyDescent="0.25">
      <c r="A38" t="s">
        <v>1</v>
      </c>
      <c r="B38" t="s">
        <v>1</v>
      </c>
    </row>
    <row r="39" ht="20" customHeight="1" spans="1:2" x14ac:dyDescent="0.25">
      <c r="A39" s="6" t="s">
        <v>175</v>
      </c>
      <c r="B39" s="6"/>
    </row>
    <row r="40" ht="20" customHeight="1" spans="1:2" x14ac:dyDescent="0.25">
      <c r="A40" s="3" t="s">
        <v>176</v>
      </c>
      <c r="B40" s="4" t="s">
        <v>177</v>
      </c>
    </row>
    <row r="41" ht="20" customHeight="1" spans="1:2" x14ac:dyDescent="0.25">
      <c r="A41" s="3" t="s">
        <v>178</v>
      </c>
      <c r="B41" s="4" t="s">
        <v>179</v>
      </c>
    </row>
    <row r="42" ht="20" customHeight="1" spans="1:2" x14ac:dyDescent="0.25">
      <c r="A42" s="3" t="s">
        <v>180</v>
      </c>
      <c r="B42" s="4" t="s">
        <v>181</v>
      </c>
    </row>
    <row r="43" ht="20" customHeight="1" spans="1:2" x14ac:dyDescent="0.25">
      <c r="A43" s="3" t="s">
        <v>182</v>
      </c>
      <c r="B43" s="15">
        <v>3</v>
      </c>
    </row>
    <row r="44" ht="116" customHeight="1" spans="1:2" x14ac:dyDescent="0.25">
      <c r="A44" s="3" t="s">
        <v>183</v>
      </c>
      <c r="B44" s="4" t="s">
        <v>184</v>
      </c>
    </row>
  </sheetData>
  <mergeCells count="7">
    <mergeCell ref="A12:B12"/>
    <mergeCell ref="A17:B17"/>
    <mergeCell ref="A20:B20"/>
    <mergeCell ref="A23:B23"/>
    <mergeCell ref="A27:B27"/>
    <mergeCell ref="A32:B32"/>
    <mergeCell ref="A39:B39"/>
  </mergeCells>
  <pageMargins left="0.35" right="0.35" top="0.55" bottom="0.55" header="0.2" footer="0.2"/>
  <pageSetup orientation="landscape" horizontalDpi="4294967295" verticalDpi="4294967295" scale="100"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23"/>
  <sheetViews>
    <sheetView workbookViewId="0" showGridLines="0"/>
  </sheetViews>
  <sheetFormatPr defaultRowHeight="20" outlineLevelRow="0" outlineLevelCol="0" x14ac:dyDescent="55" customHeight="1"/>
  <cols>
    <col min="1" max="1" width="33" customWidth="1"/>
    <col min="2" max="2" width="10" customWidth="1"/>
  </cols>
  <sheetData>
    <row r="1" ht="30" customHeight="1" spans="1:2" x14ac:dyDescent="0.25">
      <c r="A1" s="1" t="s">
        <v>185</v>
      </c>
      <c r="B1" s="2"/>
    </row>
    <row r="2" ht="7" customHeight="1" spans="1:2" x14ac:dyDescent="0.25">
      <c r="A2" t="s">
        <v>1</v>
      </c>
      <c r="B2" t="s">
        <v>1</v>
      </c>
    </row>
    <row r="3" ht="20" customHeight="1" spans="1:2" x14ac:dyDescent="0.25">
      <c r="A3" s="6" t="s">
        <v>186</v>
      </c>
      <c r="B3" s="6" t="s">
        <v>1</v>
      </c>
    </row>
    <row r="4" ht="20" customHeight="1" spans="1:2" x14ac:dyDescent="0.25">
      <c r="A4" s="3" t="s">
        <v>187</v>
      </c>
      <c r="B4" s="4" t="s">
        <v>188</v>
      </c>
    </row>
    <row r="5" ht="7" customHeight="1" spans="1:2" x14ac:dyDescent="0.25">
      <c r="A5" t="s">
        <v>1</v>
      </c>
      <c r="B5" t="s">
        <v>1</v>
      </c>
    </row>
    <row r="6" ht="20" customHeight="1" spans="1:2" x14ac:dyDescent="0.25">
      <c r="A6" s="6" t="s">
        <v>189</v>
      </c>
      <c r="B6" s="6" t="s">
        <v>1</v>
      </c>
    </row>
    <row r="7" ht="24" customHeight="1" spans="1:2" x14ac:dyDescent="0.25">
      <c r="A7" s="10" t="s">
        <v>190</v>
      </c>
      <c r="B7" s="17" t="s">
        <v>191</v>
      </c>
    </row>
    <row r="8" ht="20" customHeight="1" spans="1:2" x14ac:dyDescent="0.25">
      <c r="A8" s="13">
        <v>46418</v>
      </c>
      <c r="B8" s="18">
        <v>104</v>
      </c>
    </row>
    <row r="9" ht="20" customHeight="1" spans="1:2" x14ac:dyDescent="0.25">
      <c r="A9" s="13">
        <v>46783</v>
      </c>
      <c r="B9" s="18">
        <v>107.2</v>
      </c>
    </row>
    <row r="10" ht="20" customHeight="1" spans="1:2" x14ac:dyDescent="0.25">
      <c r="A10" s="13">
        <v>47149</v>
      </c>
      <c r="B10" s="18">
        <v>110.5</v>
      </c>
    </row>
    <row r="11" ht="7" customHeight="1" spans="1:2" x14ac:dyDescent="0.25">
      <c r="A11" t="s">
        <v>1</v>
      </c>
      <c r="B11" t="s">
        <v>1</v>
      </c>
    </row>
    <row r="12" ht="20" customHeight="1" spans="1:2" x14ac:dyDescent="0.25">
      <c r="A12" s="6" t="s">
        <v>192</v>
      </c>
      <c r="B12" s="6"/>
    </row>
    <row r="13" ht="24" customHeight="1" spans="1:2" x14ac:dyDescent="0.25">
      <c r="A13" s="10" t="s">
        <v>190</v>
      </c>
      <c r="B13" s="17" t="s">
        <v>191</v>
      </c>
    </row>
    <row r="14" ht="20" customHeight="1" spans="1:2" x14ac:dyDescent="0.25">
      <c r="A14" s="13">
        <v>46023</v>
      </c>
      <c r="B14" s="18">
        <v>100</v>
      </c>
    </row>
    <row r="15" ht="20" customHeight="1" spans="1:2" x14ac:dyDescent="0.25">
      <c r="A15" s="13">
        <v>46418</v>
      </c>
      <c r="B15" s="18">
        <v>104</v>
      </c>
    </row>
    <row r="16" ht="20" customHeight="1" spans="1:2" x14ac:dyDescent="0.25">
      <c r="A16" s="13">
        <v>46783</v>
      </c>
      <c r="B16" s="18">
        <v>107.2</v>
      </c>
    </row>
    <row r="17" ht="20" customHeight="1" spans="1:2" x14ac:dyDescent="0.25">
      <c r="A17" s="13">
        <v>47149</v>
      </c>
      <c r="B17" s="18">
        <v>110.5</v>
      </c>
    </row>
    <row r="18" ht="7" customHeight="1" spans="1:2" x14ac:dyDescent="0.25">
      <c r="A18" t="s">
        <v>1</v>
      </c>
      <c r="B18" t="s">
        <v>1</v>
      </c>
    </row>
    <row r="19" ht="20" customHeight="1" spans="1:2" x14ac:dyDescent="0.25">
      <c r="A19" s="6" t="s">
        <v>193</v>
      </c>
      <c r="B19" s="6"/>
    </row>
    <row r="20" ht="24" customHeight="1" spans="1:2" x14ac:dyDescent="0.25">
      <c r="A20" s="10" t="s">
        <v>194</v>
      </c>
      <c r="B20" s="17" t="s">
        <v>191</v>
      </c>
    </row>
    <row r="21" ht="20" customHeight="1" spans="1:2" x14ac:dyDescent="0.25">
      <c r="A21" s="13">
        <v>46418</v>
      </c>
      <c r="B21" s="18">
        <v>104</v>
      </c>
    </row>
    <row r="22" ht="20" customHeight="1" spans="1:2" x14ac:dyDescent="0.25">
      <c r="A22" s="13">
        <v>46783</v>
      </c>
      <c r="B22" s="18">
        <v>107.2</v>
      </c>
    </row>
    <row r="23" ht="20" customHeight="1" spans="1:2" x14ac:dyDescent="0.25">
      <c r="A23" s="13">
        <v>47149</v>
      </c>
      <c r="B23" s="18">
        <v>110.5</v>
      </c>
    </row>
  </sheetData>
  <mergeCells count="2">
    <mergeCell ref="A12:B12"/>
    <mergeCell ref="A19:B19"/>
  </mergeCells>
  <pageMargins left="0.35" right="0.35" top="0.55" bottom="0.55" header="0.2" footer="0.2"/>
  <pageSetup orientation="landscape" horizontalDpi="4294967295" verticalDpi="4294967295" scale="100"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I63"/>
  <sheetViews>
    <sheetView workbookViewId="0" showGridLines="0"/>
  </sheetViews>
  <sheetFormatPr defaultRowHeight="20" outlineLevelRow="0" outlineLevelCol="0" x14ac:dyDescent="55" customHeight="1"/>
  <cols>
    <col min="1" max="1" width="10" customWidth="1"/>
    <col min="2" max="4" width="19" customWidth="1"/>
    <col min="5" max="9" width="18" customWidth="1"/>
  </cols>
  <sheetData>
    <row r="1" ht="30" customHeight="1" spans="1:9" x14ac:dyDescent="0.25">
      <c r="A1" s="1" t="s">
        <v>195</v>
      </c>
      <c r="B1" s="2"/>
      <c r="C1" s="2"/>
      <c r="D1" s="2"/>
      <c r="E1" s="2"/>
      <c r="F1" s="2"/>
      <c r="G1" s="2"/>
      <c r="H1" s="2"/>
      <c r="I1" s="2"/>
    </row>
    <row r="2" spans="1:9" x14ac:dyDescent="0.25">
      <c r="A2" s="11" t="s">
        <v>196</v>
      </c>
      <c r="B2" s="10" t="s">
        <v>197</v>
      </c>
      <c r="C2" s="10" t="s">
        <v>198</v>
      </c>
      <c r="D2" s="10" t="s">
        <v>199</v>
      </c>
      <c r="E2" s="17" t="s">
        <v>101</v>
      </c>
      <c r="F2" s="17" t="s">
        <v>200</v>
      </c>
      <c r="G2" s="17" t="s">
        <v>201</v>
      </c>
      <c r="H2" s="17" t="s">
        <v>202</v>
      </c>
      <c r="I2" s="17" t="s">
        <v>107</v>
      </c>
    </row>
    <row r="3" spans="1:9" x14ac:dyDescent="0.25">
      <c r="A3" s="19">
        <v>0</v>
      </c>
      <c r="B3" s="20" t="s">
        <v>1</v>
      </c>
      <c r="C3" s="20" t="s">
        <v>1</v>
      </c>
      <c r="D3" s="20" t="s">
        <v>1</v>
      </c>
      <c r="E3" s="21">
        <v>599259.9605104219</v>
      </c>
      <c r="F3" s="21">
        <v>0</v>
      </c>
      <c r="G3" s="21">
        <v>0</v>
      </c>
      <c r="H3" s="21">
        <v>0</v>
      </c>
      <c r="I3" s="21">
        <v>599259.9605104219</v>
      </c>
    </row>
    <row r="4" spans="1:9" x14ac:dyDescent="0.25">
      <c r="A4" s="22">
        <v>1</v>
      </c>
      <c r="B4" s="23">
        <v>46023</v>
      </c>
      <c r="C4" s="23">
        <v>46053</v>
      </c>
      <c r="D4" s="23">
        <v>46053</v>
      </c>
      <c r="E4" s="9">
        <v>599259.9605104219</v>
      </c>
      <c r="F4" s="9">
        <v>2916.9281595699567</v>
      </c>
      <c r="G4" s="9">
        <v>0</v>
      </c>
      <c r="H4" s="9">
        <v>-2916.9281595699567</v>
      </c>
      <c r="I4" s="9">
        <v>602176.8886699919</v>
      </c>
    </row>
    <row r="5" spans="1:9" x14ac:dyDescent="0.25">
      <c r="A5" s="19">
        <v>2</v>
      </c>
      <c r="B5" s="24">
        <v>46054</v>
      </c>
      <c r="C5" s="24">
        <v>46081</v>
      </c>
      <c r="D5" s="24">
        <v>46081</v>
      </c>
      <c r="E5" s="21">
        <v>602176.8886699919</v>
      </c>
      <c r="F5" s="21">
        <v>2931.126454882137</v>
      </c>
      <c r="G5" s="21">
        <v>0</v>
      </c>
      <c r="H5" s="21">
        <v>-2931.126454882137</v>
      </c>
      <c r="I5" s="21">
        <v>605108.015124874</v>
      </c>
    </row>
    <row r="6" spans="1:9" x14ac:dyDescent="0.25">
      <c r="A6" s="22">
        <v>3</v>
      </c>
      <c r="B6" s="23">
        <v>46082</v>
      </c>
      <c r="C6" s="23">
        <v>46112</v>
      </c>
      <c r="D6" s="23">
        <v>46112</v>
      </c>
      <c r="E6" s="9">
        <v>605108.015124874</v>
      </c>
      <c r="F6" s="9">
        <v>2945.39386111469</v>
      </c>
      <c r="G6" s="9">
        <v>12000</v>
      </c>
      <c r="H6" s="9">
        <v>9054.60613888531</v>
      </c>
      <c r="I6" s="9">
        <v>596053.4089859887</v>
      </c>
    </row>
    <row r="7" spans="1:9" x14ac:dyDescent="0.25">
      <c r="A7" s="19">
        <v>4</v>
      </c>
      <c r="B7" s="24">
        <v>46113</v>
      </c>
      <c r="C7" s="24">
        <v>46142</v>
      </c>
      <c r="D7" s="24">
        <v>46142</v>
      </c>
      <c r="E7" s="21">
        <v>596053.4089859887</v>
      </c>
      <c r="F7" s="21">
        <v>2901.3201078844004</v>
      </c>
      <c r="G7" s="21">
        <v>12000</v>
      </c>
      <c r="H7" s="21">
        <v>9098.6798921156</v>
      </c>
      <c r="I7" s="21">
        <v>586954.7290938731</v>
      </c>
    </row>
    <row r="8" spans="1:9" x14ac:dyDescent="0.25">
      <c r="A8" s="22">
        <v>5</v>
      </c>
      <c r="B8" s="23">
        <v>46143</v>
      </c>
      <c r="C8" s="23">
        <v>46173</v>
      </c>
      <c r="D8" s="23">
        <v>46173</v>
      </c>
      <c r="E8" s="9">
        <v>586954.7290938731</v>
      </c>
      <c r="F8" s="9">
        <v>2857.031823431658</v>
      </c>
      <c r="G8" s="9">
        <v>12000</v>
      </c>
      <c r="H8" s="9">
        <v>9142.968176568342</v>
      </c>
      <c r="I8" s="9">
        <v>577811.7609173047</v>
      </c>
    </row>
    <row r="9" spans="1:9" x14ac:dyDescent="0.25">
      <c r="A9" s="19">
        <v>6</v>
      </c>
      <c r="B9" s="24">
        <v>46174</v>
      </c>
      <c r="C9" s="24">
        <v>46203</v>
      </c>
      <c r="D9" s="24">
        <v>46203</v>
      </c>
      <c r="E9" s="21">
        <v>577811.7609173047</v>
      </c>
      <c r="F9" s="21">
        <v>2812.5279635148886</v>
      </c>
      <c r="G9" s="21">
        <v>12000</v>
      </c>
      <c r="H9" s="21">
        <v>9187.472036485111</v>
      </c>
      <c r="I9" s="21">
        <v>568624.2888808196</v>
      </c>
    </row>
    <row r="10" spans="1:9" x14ac:dyDescent="0.25">
      <c r="A10" s="22">
        <v>7</v>
      </c>
      <c r="B10" s="23">
        <v>46204</v>
      </c>
      <c r="C10" s="23">
        <v>46234</v>
      </c>
      <c r="D10" s="23">
        <v>46234</v>
      </c>
      <c r="E10" s="9">
        <v>568624.2888808196</v>
      </c>
      <c r="F10" s="9">
        <v>2767.8074788096224</v>
      </c>
      <c r="G10" s="9">
        <v>12000</v>
      </c>
      <c r="H10" s="9">
        <v>9232.192521190378</v>
      </c>
      <c r="I10" s="9">
        <v>559392.0963596292</v>
      </c>
    </row>
    <row r="11" spans="1:9" x14ac:dyDescent="0.25">
      <c r="A11" s="19">
        <v>8</v>
      </c>
      <c r="B11" s="24">
        <v>46235</v>
      </c>
      <c r="C11" s="24">
        <v>46265</v>
      </c>
      <c r="D11" s="24">
        <v>46265</v>
      </c>
      <c r="E11" s="21">
        <v>559392.0963596292</v>
      </c>
      <c r="F11" s="21">
        <v>2722.869314883746</v>
      </c>
      <c r="G11" s="21">
        <v>12000</v>
      </c>
      <c r="H11" s="21">
        <v>9277.130685116254</v>
      </c>
      <c r="I11" s="21">
        <v>550114.9656745129</v>
      </c>
    </row>
    <row r="12" spans="1:9" x14ac:dyDescent="0.25">
      <c r="A12" s="22">
        <v>9</v>
      </c>
      <c r="B12" s="23">
        <v>46266</v>
      </c>
      <c r="C12" s="23">
        <v>46295</v>
      </c>
      <c r="D12" s="23">
        <v>46295</v>
      </c>
      <c r="E12" s="9">
        <v>550114.9656745129</v>
      </c>
      <c r="F12" s="9">
        <v>2677.712412172647</v>
      </c>
      <c r="G12" s="9">
        <v>12000</v>
      </c>
      <c r="H12" s="9">
        <v>9322.287587827353</v>
      </c>
      <c r="I12" s="9">
        <v>540792.6780866856</v>
      </c>
    </row>
    <row r="13" spans="1:9" x14ac:dyDescent="0.25">
      <c r="A13" s="19">
        <v>10</v>
      </c>
      <c r="B13" s="24">
        <v>46296</v>
      </c>
      <c r="C13" s="24">
        <v>46326</v>
      </c>
      <c r="D13" s="24">
        <v>46326</v>
      </c>
      <c r="E13" s="21">
        <v>540792.6780866856</v>
      </c>
      <c r="F13" s="21">
        <v>2632.3357059542277</v>
      </c>
      <c r="G13" s="21">
        <v>12000</v>
      </c>
      <c r="H13" s="21">
        <v>9367.664294045771</v>
      </c>
      <c r="I13" s="21">
        <v>531425.0137926398</v>
      </c>
    </row>
    <row r="14" spans="1:9" x14ac:dyDescent="0.25">
      <c r="A14" s="22">
        <v>11</v>
      </c>
      <c r="B14" s="23">
        <v>46327</v>
      </c>
      <c r="C14" s="23">
        <v>46356</v>
      </c>
      <c r="D14" s="23">
        <v>46356</v>
      </c>
      <c r="E14" s="9">
        <v>531425.0137926398</v>
      </c>
      <c r="F14" s="9">
        <v>2586.738126323801</v>
      </c>
      <c r="G14" s="9">
        <v>12000</v>
      </c>
      <c r="H14" s="9">
        <v>9413.261873676198</v>
      </c>
      <c r="I14" s="9">
        <v>522011.7519189636</v>
      </c>
    </row>
    <row r="15" spans="1:9" x14ac:dyDescent="0.25">
      <c r="A15" s="19">
        <v>12</v>
      </c>
      <c r="B15" s="24">
        <v>46357</v>
      </c>
      <c r="C15" s="24">
        <v>46387</v>
      </c>
      <c r="D15" s="24">
        <v>46387</v>
      </c>
      <c r="E15" s="21">
        <v>522011.7519189636</v>
      </c>
      <c r="F15" s="21">
        <v>2540.9185981688665</v>
      </c>
      <c r="G15" s="21">
        <v>12000</v>
      </c>
      <c r="H15" s="21">
        <v>9459.081401831134</v>
      </c>
      <c r="I15" s="21">
        <v>512552.6705171325</v>
      </c>
    </row>
    <row r="16" spans="1:9" x14ac:dyDescent="0.25">
      <c r="A16" s="22">
        <v>13</v>
      </c>
      <c r="B16" s="23">
        <v>46388</v>
      </c>
      <c r="C16" s="23">
        <v>46418</v>
      </c>
      <c r="D16" s="23">
        <v>46418</v>
      </c>
      <c r="E16" s="9">
        <v>533054.777337818</v>
      </c>
      <c r="F16" s="9">
        <v>2594.671082789509</v>
      </c>
      <c r="G16" s="9">
        <v>12480</v>
      </c>
      <c r="H16" s="9">
        <v>9885.32891721049</v>
      </c>
      <c r="I16" s="9">
        <v>523169.4484206076</v>
      </c>
    </row>
    <row r="17" spans="1:9" x14ac:dyDescent="0.25">
      <c r="A17" s="19">
        <v>14</v>
      </c>
      <c r="B17" s="24">
        <v>46419</v>
      </c>
      <c r="C17" s="24">
        <v>46446</v>
      </c>
      <c r="D17" s="24">
        <v>46446</v>
      </c>
      <c r="E17" s="21">
        <v>523169.4484206076</v>
      </c>
      <c r="F17" s="21">
        <v>2546.5537444299393</v>
      </c>
      <c r="G17" s="21">
        <v>12480</v>
      </c>
      <c r="H17" s="21">
        <v>9933.446255570061</v>
      </c>
      <c r="I17" s="21">
        <v>513236.00216503756</v>
      </c>
    </row>
    <row r="18" spans="1:9" x14ac:dyDescent="0.25">
      <c r="A18" s="22">
        <v>15</v>
      </c>
      <c r="B18" s="23">
        <v>46447</v>
      </c>
      <c r="C18" s="23">
        <v>46477</v>
      </c>
      <c r="D18" s="23">
        <v>46477</v>
      </c>
      <c r="E18" s="9">
        <v>513236.00216503756</v>
      </c>
      <c r="F18" s="9">
        <v>2498.2021924928345</v>
      </c>
      <c r="G18" s="9">
        <v>12480</v>
      </c>
      <c r="H18" s="9">
        <v>9981.797807507166</v>
      </c>
      <c r="I18" s="9">
        <v>503254.2043575304</v>
      </c>
    </row>
    <row r="19" spans="1:9" x14ac:dyDescent="0.25">
      <c r="A19" s="19">
        <v>16</v>
      </c>
      <c r="B19" s="24">
        <v>46478</v>
      </c>
      <c r="C19" s="24">
        <v>46507</v>
      </c>
      <c r="D19" s="24">
        <v>46507</v>
      </c>
      <c r="E19" s="21">
        <v>503254.2043575304</v>
      </c>
      <c r="F19" s="21">
        <v>2449.615286931763</v>
      </c>
      <c r="G19" s="21">
        <v>12480</v>
      </c>
      <c r="H19" s="21">
        <v>10030.384713068237</v>
      </c>
      <c r="I19" s="21">
        <v>493223.81964446214</v>
      </c>
    </row>
    <row r="20" spans="1:9" x14ac:dyDescent="0.25">
      <c r="A20" s="22">
        <v>17</v>
      </c>
      <c r="B20" s="23">
        <v>46508</v>
      </c>
      <c r="C20" s="23">
        <v>46538</v>
      </c>
      <c r="D20" s="23">
        <v>46538</v>
      </c>
      <c r="E20" s="9">
        <v>493223.81964446214</v>
      </c>
      <c r="F20" s="9">
        <v>2400.7918821510593</v>
      </c>
      <c r="G20" s="9">
        <v>12480</v>
      </c>
      <c r="H20" s="9">
        <v>10079.20811784894</v>
      </c>
      <c r="I20" s="9">
        <v>483144.6115266132</v>
      </c>
    </row>
    <row r="21" spans="1:9" x14ac:dyDescent="0.25">
      <c r="A21" s="19">
        <v>18</v>
      </c>
      <c r="B21" s="24">
        <v>46539</v>
      </c>
      <c r="C21" s="24">
        <v>46568</v>
      </c>
      <c r="D21" s="24">
        <v>46568</v>
      </c>
      <c r="E21" s="21">
        <v>483144.6115266132</v>
      </c>
      <c r="F21" s="21">
        <v>2351.7308269788136</v>
      </c>
      <c r="G21" s="21">
        <v>12480</v>
      </c>
      <c r="H21" s="21">
        <v>10128.269173021186</v>
      </c>
      <c r="I21" s="21">
        <v>473016.342353592</v>
      </c>
    </row>
    <row r="22" spans="1:9" x14ac:dyDescent="0.25">
      <c r="A22" s="22">
        <v>19</v>
      </c>
      <c r="B22" s="23">
        <v>46569</v>
      </c>
      <c r="C22" s="23">
        <v>46599</v>
      </c>
      <c r="D22" s="23">
        <v>46599</v>
      </c>
      <c r="E22" s="9">
        <v>473016.342353592</v>
      </c>
      <c r="F22" s="9">
        <v>2302.430964639728</v>
      </c>
      <c r="G22" s="9">
        <v>12480</v>
      </c>
      <c r="H22" s="9">
        <v>10177.569035360273</v>
      </c>
      <c r="I22" s="9">
        <v>462838.7733182317</v>
      </c>
    </row>
    <row r="23" spans="1:9" x14ac:dyDescent="0.25">
      <c r="A23" s="19">
        <v>20</v>
      </c>
      <c r="B23" s="24">
        <v>46600</v>
      </c>
      <c r="C23" s="24">
        <v>46630</v>
      </c>
      <c r="D23" s="24">
        <v>46630</v>
      </c>
      <c r="E23" s="21">
        <v>462838.7733182317</v>
      </c>
      <c r="F23" s="21">
        <v>2252.8911327278415</v>
      </c>
      <c r="G23" s="21">
        <v>12480</v>
      </c>
      <c r="H23" s="21">
        <v>10227.108867272158</v>
      </c>
      <c r="I23" s="21">
        <v>452611.66445095954</v>
      </c>
    </row>
    <row r="24" spans="1:9" x14ac:dyDescent="0.25">
      <c r="A24" s="22">
        <v>21</v>
      </c>
      <c r="B24" s="23">
        <v>46631</v>
      </c>
      <c r="C24" s="23">
        <v>46660</v>
      </c>
      <c r="D24" s="23">
        <v>46660</v>
      </c>
      <c r="E24" s="9">
        <v>452611.66445095954</v>
      </c>
      <c r="F24" s="9">
        <v>2203.110163179126</v>
      </c>
      <c r="G24" s="9">
        <v>12480</v>
      </c>
      <c r="H24" s="9">
        <v>10276.889836820874</v>
      </c>
      <c r="I24" s="9">
        <v>442334.77461413865</v>
      </c>
    </row>
    <row r="25" spans="1:9" x14ac:dyDescent="0.25">
      <c r="A25" s="19">
        <v>22</v>
      </c>
      <c r="B25" s="24">
        <v>46661</v>
      </c>
      <c r="C25" s="24">
        <v>46691</v>
      </c>
      <c r="D25" s="24">
        <v>46691</v>
      </c>
      <c r="E25" s="21">
        <v>442334.77461413865</v>
      </c>
      <c r="F25" s="21">
        <v>2153.0868822439406</v>
      </c>
      <c r="G25" s="21">
        <v>12480</v>
      </c>
      <c r="H25" s="21">
        <v>10326.91311775606</v>
      </c>
      <c r="I25" s="21">
        <v>432007.86149638257</v>
      </c>
    </row>
    <row r="26" spans="1:9" x14ac:dyDescent="0.25">
      <c r="A26" s="22">
        <v>23</v>
      </c>
      <c r="B26" s="23">
        <v>46692</v>
      </c>
      <c r="C26" s="23">
        <v>46721</v>
      </c>
      <c r="D26" s="23">
        <v>46721</v>
      </c>
      <c r="E26" s="9">
        <v>432007.86149638257</v>
      </c>
      <c r="F26" s="9">
        <v>2102.820110459358</v>
      </c>
      <c r="G26" s="9">
        <v>12480</v>
      </c>
      <c r="H26" s="9">
        <v>10377.179889540643</v>
      </c>
      <c r="I26" s="9">
        <v>421630.6816068419</v>
      </c>
    </row>
    <row r="27" spans="1:9" x14ac:dyDescent="0.25">
      <c r="A27" s="19">
        <v>24</v>
      </c>
      <c r="B27" s="24">
        <v>46722</v>
      </c>
      <c r="C27" s="24">
        <v>46752</v>
      </c>
      <c r="D27" s="24">
        <v>46752</v>
      </c>
      <c r="E27" s="21">
        <v>421630.6816068419</v>
      </c>
      <c r="F27" s="21">
        <v>2052.308662621358</v>
      </c>
      <c r="G27" s="21">
        <v>12480</v>
      </c>
      <c r="H27" s="21">
        <v>10427.691337378641</v>
      </c>
      <c r="I27" s="21">
        <v>411202.9902694633</v>
      </c>
    </row>
    <row r="28" spans="1:9" x14ac:dyDescent="0.25">
      <c r="A28" s="22">
        <v>25</v>
      </c>
      <c r="B28" s="23">
        <v>46753</v>
      </c>
      <c r="C28" s="23">
        <v>46783</v>
      </c>
      <c r="D28" s="23">
        <v>46783</v>
      </c>
      <c r="E28" s="9">
        <v>423855.38997006207</v>
      </c>
      <c r="F28" s="9">
        <v>2063.137543072474</v>
      </c>
      <c r="G28" s="9">
        <v>12864.000000000002</v>
      </c>
      <c r="H28" s="9">
        <v>10800.862456927527</v>
      </c>
      <c r="I28" s="9">
        <v>413054.5275131345</v>
      </c>
    </row>
    <row r="29" spans="1:9" x14ac:dyDescent="0.25">
      <c r="A29" s="19">
        <v>26</v>
      </c>
      <c r="B29" s="24">
        <v>46784</v>
      </c>
      <c r="C29" s="24">
        <v>46812</v>
      </c>
      <c r="D29" s="24">
        <v>46812</v>
      </c>
      <c r="E29" s="21">
        <v>413054.5275131345</v>
      </c>
      <c r="F29" s="21">
        <v>2010.5637989140637</v>
      </c>
      <c r="G29" s="21">
        <v>12864.000000000002</v>
      </c>
      <c r="H29" s="21">
        <v>10853.436201085939</v>
      </c>
      <c r="I29" s="21">
        <v>402201.0913120486</v>
      </c>
    </row>
    <row r="30" spans="1:9" x14ac:dyDescent="0.25">
      <c r="A30" s="22">
        <v>27</v>
      </c>
      <c r="B30" s="23">
        <v>46813</v>
      </c>
      <c r="C30" s="23">
        <v>46843</v>
      </c>
      <c r="D30" s="23">
        <v>46843</v>
      </c>
      <c r="E30" s="9">
        <v>402201.0913120486</v>
      </c>
      <c r="F30" s="9">
        <v>1957.7341493975532</v>
      </c>
      <c r="G30" s="9">
        <v>12864.000000000002</v>
      </c>
      <c r="H30" s="9">
        <v>10906.265850602449</v>
      </c>
      <c r="I30" s="9">
        <v>391294.82546144613</v>
      </c>
    </row>
    <row r="31" spans="1:9" x14ac:dyDescent="0.25">
      <c r="A31" s="19">
        <v>28</v>
      </c>
      <c r="B31" s="24">
        <v>46844</v>
      </c>
      <c r="C31" s="24">
        <v>46873</v>
      </c>
      <c r="D31" s="24">
        <v>46873</v>
      </c>
      <c r="E31" s="21">
        <v>391294.82546144613</v>
      </c>
      <c r="F31" s="21">
        <v>1904.6473488906715</v>
      </c>
      <c r="G31" s="21">
        <v>12864.000000000002</v>
      </c>
      <c r="H31" s="21">
        <v>10959.35265110933</v>
      </c>
      <c r="I31" s="21">
        <v>380335.4728103368</v>
      </c>
    </row>
    <row r="32" spans="1:9" x14ac:dyDescent="0.25">
      <c r="A32" s="22">
        <v>29</v>
      </c>
      <c r="B32" s="23">
        <v>46874</v>
      </c>
      <c r="C32" s="23">
        <v>46904</v>
      </c>
      <c r="D32" s="23">
        <v>46904</v>
      </c>
      <c r="E32" s="9">
        <v>380335.4728103368</v>
      </c>
      <c r="F32" s="9">
        <v>1851.3021456979704</v>
      </c>
      <c r="G32" s="9">
        <v>12864.000000000002</v>
      </c>
      <c r="H32" s="9">
        <v>11012.69785430203</v>
      </c>
      <c r="I32" s="9">
        <v>369322.7749560348</v>
      </c>
    </row>
    <row r="33" spans="1:9" x14ac:dyDescent="0.25">
      <c r="A33" s="19">
        <v>30</v>
      </c>
      <c r="B33" s="24">
        <v>46905</v>
      </c>
      <c r="C33" s="24">
        <v>46934</v>
      </c>
      <c r="D33" s="24">
        <v>46934</v>
      </c>
      <c r="E33" s="21">
        <v>369322.7749560348</v>
      </c>
      <c r="F33" s="21">
        <v>1797.6972820313106</v>
      </c>
      <c r="G33" s="21">
        <v>12864.000000000002</v>
      </c>
      <c r="H33" s="21">
        <v>11066.30271796869</v>
      </c>
      <c r="I33" s="21">
        <v>358256.4722380661</v>
      </c>
    </row>
    <row r="34" spans="1:9" x14ac:dyDescent="0.25">
      <c r="A34" s="22">
        <v>31</v>
      </c>
      <c r="B34" s="23">
        <v>46935</v>
      </c>
      <c r="C34" s="23">
        <v>46965</v>
      </c>
      <c r="D34" s="23">
        <v>46965</v>
      </c>
      <c r="E34" s="9">
        <v>358256.4722380661</v>
      </c>
      <c r="F34" s="9">
        <v>1743.8314939802046</v>
      </c>
      <c r="G34" s="9">
        <v>12864.000000000002</v>
      </c>
      <c r="H34" s="9">
        <v>11120.168506019798</v>
      </c>
      <c r="I34" s="9">
        <v>347136.3037320463</v>
      </c>
    </row>
    <row r="35" spans="1:9" x14ac:dyDescent="0.25">
      <c r="A35" s="19">
        <v>32</v>
      </c>
      <c r="B35" s="24">
        <v>46966</v>
      </c>
      <c r="C35" s="24">
        <v>46996</v>
      </c>
      <c r="D35" s="24">
        <v>46996</v>
      </c>
      <c r="E35" s="21">
        <v>347136.3037320463</v>
      </c>
      <c r="F35" s="21">
        <v>1689.703511482018</v>
      </c>
      <c r="G35" s="21">
        <v>12864.000000000002</v>
      </c>
      <c r="H35" s="21">
        <v>11174.296488517984</v>
      </c>
      <c r="I35" s="21">
        <v>335962.0072435283</v>
      </c>
    </row>
    <row r="36" spans="1:9" x14ac:dyDescent="0.25">
      <c r="A36" s="22">
        <v>33</v>
      </c>
      <c r="B36" s="23">
        <v>46997</v>
      </c>
      <c r="C36" s="23">
        <v>47026</v>
      </c>
      <c r="D36" s="23">
        <v>47026</v>
      </c>
      <c r="E36" s="9">
        <v>335962.0072435283</v>
      </c>
      <c r="F36" s="9">
        <v>1635.3120582920217</v>
      </c>
      <c r="G36" s="9">
        <v>12864.000000000002</v>
      </c>
      <c r="H36" s="9">
        <v>11228.68794170798</v>
      </c>
      <c r="I36" s="9">
        <v>324733.31930182036</v>
      </c>
    </row>
    <row r="37" spans="1:9" x14ac:dyDescent="0.25">
      <c r="A37" s="19">
        <v>34</v>
      </c>
      <c r="B37" s="24">
        <v>47027</v>
      </c>
      <c r="C37" s="24">
        <v>47057</v>
      </c>
      <c r="D37" s="24">
        <v>47057</v>
      </c>
      <c r="E37" s="21">
        <v>324733.31930182036</v>
      </c>
      <c r="F37" s="21">
        <v>1580.6558519533003</v>
      </c>
      <c r="G37" s="21">
        <v>12864.000000000002</v>
      </c>
      <c r="H37" s="21">
        <v>11283.3441480467</v>
      </c>
      <c r="I37" s="21">
        <v>313449.9751537737</v>
      </c>
    </row>
    <row r="38" spans="1:9" x14ac:dyDescent="0.25">
      <c r="A38" s="22">
        <v>35</v>
      </c>
      <c r="B38" s="23">
        <v>47058</v>
      </c>
      <c r="C38" s="23">
        <v>47087</v>
      </c>
      <c r="D38" s="23">
        <v>47087</v>
      </c>
      <c r="E38" s="9">
        <v>313449.9751537737</v>
      </c>
      <c r="F38" s="9">
        <v>1525.7336037665154</v>
      </c>
      <c r="G38" s="9">
        <v>12864.000000000002</v>
      </c>
      <c r="H38" s="9">
        <v>11338.266396233486</v>
      </c>
      <c r="I38" s="9">
        <v>302111.7087575402</v>
      </c>
    </row>
    <row r="39" spans="1:9" x14ac:dyDescent="0.25">
      <c r="A39" s="19">
        <v>36</v>
      </c>
      <c r="B39" s="24">
        <v>47088</v>
      </c>
      <c r="C39" s="24">
        <v>47118</v>
      </c>
      <c r="D39" s="24">
        <v>47118</v>
      </c>
      <c r="E39" s="21">
        <v>302111.7087575402</v>
      </c>
      <c r="F39" s="21">
        <v>1470.5440187595193</v>
      </c>
      <c r="G39" s="21">
        <v>12864.000000000002</v>
      </c>
      <c r="H39" s="21">
        <v>11393.455981240482</v>
      </c>
      <c r="I39" s="21">
        <v>290718.2527762997</v>
      </c>
    </row>
    <row r="40" spans="1:9" x14ac:dyDescent="0.25">
      <c r="A40" s="22">
        <v>37</v>
      </c>
      <c r="B40" s="23">
        <v>47119</v>
      </c>
      <c r="C40" s="23">
        <v>47149</v>
      </c>
      <c r="D40" s="23">
        <v>47149</v>
      </c>
      <c r="E40" s="9">
        <v>299667.60197556997</v>
      </c>
      <c r="F40" s="9">
        <v>1458.6472054111812</v>
      </c>
      <c r="G40" s="9">
        <v>13260</v>
      </c>
      <c r="H40" s="9">
        <v>11801.352794588818</v>
      </c>
      <c r="I40" s="9">
        <v>287866.24918098113</v>
      </c>
    </row>
    <row r="41" spans="1:9" x14ac:dyDescent="0.25">
      <c r="A41" s="19">
        <v>38</v>
      </c>
      <c r="B41" s="24">
        <v>47150</v>
      </c>
      <c r="C41" s="24">
        <v>47177</v>
      </c>
      <c r="D41" s="24">
        <v>47177</v>
      </c>
      <c r="E41" s="21">
        <v>287866.24918098113</v>
      </c>
      <c r="F41" s="21">
        <v>1401.2035239440675</v>
      </c>
      <c r="G41" s="21">
        <v>13260</v>
      </c>
      <c r="H41" s="21">
        <v>11858.796476055933</v>
      </c>
      <c r="I41" s="21">
        <v>276007.4527049252</v>
      </c>
    </row>
    <row r="42" spans="1:9" x14ac:dyDescent="0.25">
      <c r="A42" s="22">
        <v>39</v>
      </c>
      <c r="B42" s="23">
        <v>47178</v>
      </c>
      <c r="C42" s="23">
        <v>47208</v>
      </c>
      <c r="D42" s="23">
        <v>47208</v>
      </c>
      <c r="E42" s="9">
        <v>276007.4527049252</v>
      </c>
      <c r="F42" s="9">
        <v>1343.4802324527534</v>
      </c>
      <c r="G42" s="9">
        <v>13260</v>
      </c>
      <c r="H42" s="9">
        <v>11916.519767547246</v>
      </c>
      <c r="I42" s="9">
        <v>264090.93293737795</v>
      </c>
    </row>
    <row r="43" spans="1:9" x14ac:dyDescent="0.25">
      <c r="A43" s="19">
        <v>40</v>
      </c>
      <c r="B43" s="24">
        <v>47209</v>
      </c>
      <c r="C43" s="24">
        <v>47238</v>
      </c>
      <c r="D43" s="24">
        <v>47238</v>
      </c>
      <c r="E43" s="21">
        <v>264090.93293737795</v>
      </c>
      <c r="F43" s="21">
        <v>1285.475969921307</v>
      </c>
      <c r="G43" s="21">
        <v>13260</v>
      </c>
      <c r="H43" s="21">
        <v>11974.524030078694</v>
      </c>
      <c r="I43" s="21">
        <v>252116.40890729928</v>
      </c>
    </row>
    <row r="44" spans="1:9" x14ac:dyDescent="0.25">
      <c r="A44" s="22">
        <v>41</v>
      </c>
      <c r="B44" s="23">
        <v>47239</v>
      </c>
      <c r="C44" s="23">
        <v>47269</v>
      </c>
      <c r="D44" s="23">
        <v>47269</v>
      </c>
      <c r="E44" s="9">
        <v>252116.40890729928</v>
      </c>
      <c r="F44" s="9">
        <v>1227.1893687089837</v>
      </c>
      <c r="G44" s="9">
        <v>13260</v>
      </c>
      <c r="H44" s="9">
        <v>12032.810631291017</v>
      </c>
      <c r="I44" s="9">
        <v>240083.59827600827</v>
      </c>
    </row>
    <row r="45" spans="1:9" x14ac:dyDescent="0.25">
      <c r="A45" s="19">
        <v>42</v>
      </c>
      <c r="B45" s="24">
        <v>47270</v>
      </c>
      <c r="C45" s="24">
        <v>47299</v>
      </c>
      <c r="D45" s="24">
        <v>47299</v>
      </c>
      <c r="E45" s="21">
        <v>240083.59827600827</v>
      </c>
      <c r="F45" s="21">
        <v>1168.6190545179775</v>
      </c>
      <c r="G45" s="21">
        <v>13260</v>
      </c>
      <c r="H45" s="21">
        <v>12091.380945482022</v>
      </c>
      <c r="I45" s="21">
        <v>227992.21733052624</v>
      </c>
    </row>
    <row r="46" spans="1:9" x14ac:dyDescent="0.25">
      <c r="A46" s="22">
        <v>43</v>
      </c>
      <c r="B46" s="23">
        <v>47300</v>
      </c>
      <c r="C46" s="23">
        <v>47330</v>
      </c>
      <c r="D46" s="23">
        <v>47330</v>
      </c>
      <c r="E46" s="9">
        <v>227992.21733052624</v>
      </c>
      <c r="F46" s="9">
        <v>1109.7636463610181</v>
      </c>
      <c r="G46" s="9">
        <v>13260</v>
      </c>
      <c r="H46" s="9">
        <v>12150.236353638982</v>
      </c>
      <c r="I46" s="9">
        <v>215841.98097688725</v>
      </c>
    </row>
    <row r="47" spans="1:9" x14ac:dyDescent="0.25">
      <c r="A47" s="19">
        <v>44</v>
      </c>
      <c r="B47" s="24">
        <v>47331</v>
      </c>
      <c r="C47" s="24">
        <v>47361</v>
      </c>
      <c r="D47" s="24">
        <v>47361</v>
      </c>
      <c r="E47" s="21">
        <v>215841.98097688725</v>
      </c>
      <c r="F47" s="21">
        <v>1050.6217565288111</v>
      </c>
      <c r="G47" s="21">
        <v>13260</v>
      </c>
      <c r="H47" s="21">
        <v>12209.378243471188</v>
      </c>
      <c r="I47" s="21">
        <v>203632.60273341608</v>
      </c>
    </row>
    <row r="48" spans="1:9" x14ac:dyDescent="0.25">
      <c r="A48" s="22">
        <v>45</v>
      </c>
      <c r="B48" s="23">
        <v>47362</v>
      </c>
      <c r="C48" s="23">
        <v>47391</v>
      </c>
      <c r="D48" s="23">
        <v>47391</v>
      </c>
      <c r="E48" s="9">
        <v>203632.60273341608</v>
      </c>
      <c r="F48" s="9">
        <v>991.1919905573158</v>
      </c>
      <c r="G48" s="9">
        <v>13260</v>
      </c>
      <c r="H48" s="9">
        <v>12268.808009442684</v>
      </c>
      <c r="I48" s="9">
        <v>191363.79472397338</v>
      </c>
    </row>
    <row r="49" spans="1:9" x14ac:dyDescent="0.25">
      <c r="A49" s="19">
        <v>46</v>
      </c>
      <c r="B49" s="24">
        <v>47392</v>
      </c>
      <c r="C49" s="24">
        <v>47422</v>
      </c>
      <c r="D49" s="24">
        <v>47422</v>
      </c>
      <c r="E49" s="21">
        <v>191363.79472397338</v>
      </c>
      <c r="F49" s="21">
        <v>931.4729471948676</v>
      </c>
      <c r="G49" s="21">
        <v>13260</v>
      </c>
      <c r="H49" s="21">
        <v>12328.527052805133</v>
      </c>
      <c r="I49" s="21">
        <v>179035.26767116826</v>
      </c>
    </row>
    <row r="50" spans="1:9" x14ac:dyDescent="0.25">
      <c r="A50" s="22">
        <v>47</v>
      </c>
      <c r="B50" s="23">
        <v>47423</v>
      </c>
      <c r="C50" s="23">
        <v>47452</v>
      </c>
      <c r="D50" s="23">
        <v>47452</v>
      </c>
      <c r="E50" s="9">
        <v>179035.26767116826</v>
      </c>
      <c r="F50" s="9">
        <v>871.4632183691391</v>
      </c>
      <c r="G50" s="9">
        <v>13260</v>
      </c>
      <c r="H50" s="9">
        <v>12388.53678163086</v>
      </c>
      <c r="I50" s="9">
        <v>166646.7308895374</v>
      </c>
    </row>
    <row r="51" spans="1:9" x14ac:dyDescent="0.25">
      <c r="A51" s="19">
        <v>48</v>
      </c>
      <c r="B51" s="24">
        <v>47453</v>
      </c>
      <c r="C51" s="24">
        <v>47483</v>
      </c>
      <c r="D51" s="24">
        <v>47483</v>
      </c>
      <c r="E51" s="21">
        <v>166646.7308895374</v>
      </c>
      <c r="F51" s="21">
        <v>811.1613891539387</v>
      </c>
      <c r="G51" s="21">
        <v>13260</v>
      </c>
      <c r="H51" s="21">
        <v>12448.838610846062</v>
      </c>
      <c r="I51" s="21">
        <v>154197.89227869135</v>
      </c>
    </row>
    <row r="52" spans="1:9" x14ac:dyDescent="0.25">
      <c r="A52" s="22">
        <v>49</v>
      </c>
      <c r="B52" s="23">
        <v>47484</v>
      </c>
      <c r="C52" s="23">
        <v>47514</v>
      </c>
      <c r="D52" s="23">
        <v>47514</v>
      </c>
      <c r="E52" s="9">
        <v>154197.89227869135</v>
      </c>
      <c r="F52" s="9">
        <v>750.5660377358505</v>
      </c>
      <c r="G52" s="9">
        <v>13260</v>
      </c>
      <c r="H52" s="9">
        <v>12509.43396226415</v>
      </c>
      <c r="I52" s="9">
        <v>141688.4583164272</v>
      </c>
    </row>
    <row r="53" spans="1:9" x14ac:dyDescent="0.25">
      <c r="A53" s="19">
        <v>50</v>
      </c>
      <c r="B53" s="24">
        <v>47515</v>
      </c>
      <c r="C53" s="24">
        <v>47542</v>
      </c>
      <c r="D53" s="24">
        <v>47542</v>
      </c>
      <c r="E53" s="21">
        <v>141688.4583164272</v>
      </c>
      <c r="F53" s="21">
        <v>689.6757353807101</v>
      </c>
      <c r="G53" s="21">
        <v>13260</v>
      </c>
      <c r="H53" s="21">
        <v>12570.32426461929</v>
      </c>
      <c r="I53" s="21">
        <v>129118.1340518079</v>
      </c>
    </row>
    <row r="54" spans="1:9" x14ac:dyDescent="0.25">
      <c r="A54" s="22">
        <v>51</v>
      </c>
      <c r="B54" s="23">
        <v>47543</v>
      </c>
      <c r="C54" s="23">
        <v>47573</v>
      </c>
      <c r="D54" s="23">
        <v>47573</v>
      </c>
      <c r="E54" s="9">
        <v>129118.1340518079</v>
      </c>
      <c r="F54" s="9">
        <v>628.489046399917</v>
      </c>
      <c r="G54" s="9">
        <v>13260</v>
      </c>
      <c r="H54" s="9">
        <v>12631.510953600084</v>
      </c>
      <c r="I54" s="9">
        <v>116486.62309820781</v>
      </c>
    </row>
    <row r="55" spans="1:9" x14ac:dyDescent="0.25">
      <c r="A55" s="19">
        <v>52</v>
      </c>
      <c r="B55" s="24">
        <v>47574</v>
      </c>
      <c r="C55" s="24">
        <v>47603</v>
      </c>
      <c r="D55" s="24">
        <v>47603</v>
      </c>
      <c r="E55" s="21">
        <v>116486.62309820781</v>
      </c>
      <c r="F55" s="21">
        <v>567.0045281165841</v>
      </c>
      <c r="G55" s="21">
        <v>13260</v>
      </c>
      <c r="H55" s="21">
        <v>12692.995471883416</v>
      </c>
      <c r="I55" s="21">
        <v>103793.62762632439</v>
      </c>
    </row>
    <row r="56" spans="1:9" x14ac:dyDescent="0.25">
      <c r="A56" s="22">
        <v>53</v>
      </c>
      <c r="B56" s="23">
        <v>47604</v>
      </c>
      <c r="C56" s="23">
        <v>47634</v>
      </c>
      <c r="D56" s="23">
        <v>47634</v>
      </c>
      <c r="E56" s="9">
        <v>103793.62762632439</v>
      </c>
      <c r="F56" s="9">
        <v>505.22073083152117</v>
      </c>
      <c r="G56" s="9">
        <v>13260</v>
      </c>
      <c r="H56" s="9">
        <v>12754.779269168479</v>
      </c>
      <c r="I56" s="9">
        <v>91038.84835715592</v>
      </c>
    </row>
    <row r="57" spans="1:9" x14ac:dyDescent="0.25">
      <c r="A57" s="19">
        <v>54</v>
      </c>
      <c r="B57" s="24">
        <v>47635</v>
      </c>
      <c r="C57" s="24">
        <v>47664</v>
      </c>
      <c r="D57" s="24">
        <v>47664</v>
      </c>
      <c r="E57" s="21">
        <v>91038.84835715592</v>
      </c>
      <c r="F57" s="21">
        <v>443.13619778905434</v>
      </c>
      <c r="G57" s="21">
        <v>13260</v>
      </c>
      <c r="H57" s="21">
        <v>12816.863802210946</v>
      </c>
      <c r="I57" s="21">
        <v>78221.98455494497</v>
      </c>
    </row>
    <row r="58" spans="1:9" x14ac:dyDescent="0.25">
      <c r="A58" s="22">
        <v>55</v>
      </c>
      <c r="B58" s="23">
        <v>47665</v>
      </c>
      <c r="C58" s="23">
        <v>47695</v>
      </c>
      <c r="D58" s="23">
        <v>47695</v>
      </c>
      <c r="E58" s="9">
        <v>78221.98455494497</v>
      </c>
      <c r="F58" s="9">
        <v>380.7494651426776</v>
      </c>
      <c r="G58" s="9">
        <v>13260</v>
      </c>
      <c r="H58" s="9">
        <v>12879.250534857323</v>
      </c>
      <c r="I58" s="9">
        <v>65342.73402008765</v>
      </c>
    </row>
    <row r="59" spans="1:9" x14ac:dyDescent="0.25">
      <c r="A59" s="19">
        <v>56</v>
      </c>
      <c r="B59" s="24">
        <v>47696</v>
      </c>
      <c r="C59" s="24">
        <v>47726</v>
      </c>
      <c r="D59" s="24">
        <v>47726</v>
      </c>
      <c r="E59" s="21">
        <v>65342.73402008765</v>
      </c>
      <c r="F59" s="21">
        <v>318.05906192053806</v>
      </c>
      <c r="G59" s="21">
        <v>13260</v>
      </c>
      <c r="H59" s="21">
        <v>12941.940938079462</v>
      </c>
      <c r="I59" s="21">
        <v>52400.79308200818</v>
      </c>
    </row>
    <row r="60" spans="1:9" x14ac:dyDescent="0.25">
      <c r="A60" s="22">
        <v>57</v>
      </c>
      <c r="B60" s="23">
        <v>47727</v>
      </c>
      <c r="C60" s="23">
        <v>47756</v>
      </c>
      <c r="D60" s="23">
        <v>47756</v>
      </c>
      <c r="E60" s="9">
        <v>52400.79308200818</v>
      </c>
      <c r="F60" s="9">
        <v>255.06350999075303</v>
      </c>
      <c r="G60" s="9">
        <v>13260</v>
      </c>
      <c r="H60" s="9">
        <v>13004.936490009248</v>
      </c>
      <c r="I60" s="9">
        <v>39395.856591998934</v>
      </c>
    </row>
    <row r="61" spans="1:9" x14ac:dyDescent="0.25">
      <c r="A61" s="19">
        <v>58</v>
      </c>
      <c r="B61" s="24">
        <v>47757</v>
      </c>
      <c r="C61" s="24">
        <v>47787</v>
      </c>
      <c r="D61" s="24">
        <v>47787</v>
      </c>
      <c r="E61" s="21">
        <v>39395.856591998934</v>
      </c>
      <c r="F61" s="21">
        <v>191.76132402655807</v>
      </c>
      <c r="G61" s="21">
        <v>13260</v>
      </c>
      <c r="H61" s="21">
        <v>13068.238675973442</v>
      </c>
      <c r="I61" s="21">
        <v>26327.61791602549</v>
      </c>
    </row>
    <row r="62" spans="1:9" x14ac:dyDescent="0.25">
      <c r="A62" s="22">
        <v>59</v>
      </c>
      <c r="B62" s="23">
        <v>47788</v>
      </c>
      <c r="C62" s="23">
        <v>47817</v>
      </c>
      <c r="D62" s="23">
        <v>47817</v>
      </c>
      <c r="E62" s="9">
        <v>26327.61791602549</v>
      </c>
      <c r="F62" s="9">
        <v>128.15101147128564</v>
      </c>
      <c r="G62" s="9">
        <v>13260</v>
      </c>
      <c r="H62" s="9">
        <v>13131.848988528714</v>
      </c>
      <c r="I62" s="9">
        <v>13195.768927496778</v>
      </c>
    </row>
    <row r="63" spans="1:9" x14ac:dyDescent="0.25">
      <c r="A63" s="19">
        <v>60</v>
      </c>
      <c r="B63" s="24">
        <v>47818</v>
      </c>
      <c r="C63" s="24">
        <v>47848</v>
      </c>
      <c r="D63" s="24">
        <v>47848</v>
      </c>
      <c r="E63" s="21">
        <v>13195.768927496778</v>
      </c>
      <c r="F63" s="21">
        <v>64.23107250317317</v>
      </c>
      <c r="G63" s="21">
        <v>13260</v>
      </c>
      <c r="H63" s="21">
        <v>13195.768927496827</v>
      </c>
      <c r="I63" s="21">
        <v>0</v>
      </c>
    </row>
  </sheetData>
  <autoFilter ref="A2:I63"/>
  <pageMargins left="0.35" right="0.35" top="0.55" bottom="0.55" header="0.2" footer="0.2"/>
  <pageSetup orientation="landscape" horizontalDpi="4294967295" verticalDpi="4294967295" scale="100"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V62"/>
  <sheetViews>
    <sheetView workbookViewId="0" showGridLines="0"/>
  </sheetViews>
  <sheetFormatPr defaultRowHeight="20" outlineLevelRow="0" outlineLevelCol="0" x14ac:dyDescent="55" customHeight="1"/>
  <cols>
    <col min="1" max="1" width="8" customWidth="1"/>
    <col min="2" max="7" width="18" customWidth="1"/>
    <col min="8" max="8" width="54" customWidth="1"/>
    <col min="9" max="11" width="18" customWidth="1"/>
    <col min="12" max="12" width="16" customWidth="1"/>
    <col min="13" max="13" width="24" customWidth="1"/>
    <col min="14" max="15" width="18" customWidth="1"/>
    <col min="16" max="16" width="16" customWidth="1"/>
    <col min="17" max="17" width="18" customWidth="1"/>
    <col min="18" max="19" width="20" customWidth="1"/>
    <col min="20" max="20" width="28" customWidth="1"/>
    <col min="21" max="21" width="18" customWidth="1"/>
    <col min="22" max="22" width="56" customWidth="1"/>
  </cols>
  <sheetData>
    <row r="1" ht="30" customHeight="1" spans="1:22" x14ac:dyDescent="0.25">
      <c r="A1" s="1" t="s">
        <v>203</v>
      </c>
      <c r="B1" s="2"/>
      <c r="C1" s="2"/>
      <c r="D1" s="2"/>
      <c r="E1" s="2"/>
      <c r="F1" s="2"/>
      <c r="G1" s="2"/>
      <c r="H1" s="2"/>
      <c r="I1" s="2"/>
      <c r="J1" s="2"/>
      <c r="K1" s="2"/>
      <c r="L1" s="2"/>
      <c r="M1" s="2"/>
      <c r="N1" s="2"/>
      <c r="O1" s="2"/>
      <c r="P1" s="2"/>
      <c r="Q1" s="2"/>
      <c r="R1" s="2"/>
      <c r="S1" s="2"/>
      <c r="T1" s="2"/>
      <c r="U1" s="2"/>
      <c r="V1" s="2"/>
    </row>
    <row r="2" spans="1:22" x14ac:dyDescent="0.25">
      <c r="A2" s="11" t="s">
        <v>196</v>
      </c>
      <c r="B2" s="10" t="s">
        <v>197</v>
      </c>
      <c r="C2" s="10" t="s">
        <v>198</v>
      </c>
      <c r="D2" s="10" t="s">
        <v>199</v>
      </c>
      <c r="E2" s="10" t="s">
        <v>204</v>
      </c>
      <c r="F2" s="17" t="s">
        <v>205</v>
      </c>
      <c r="G2" s="17" t="s">
        <v>206</v>
      </c>
      <c r="H2" s="10" t="s">
        <v>207</v>
      </c>
      <c r="I2" s="17" t="s">
        <v>208</v>
      </c>
      <c r="J2" s="17" t="s">
        <v>209</v>
      </c>
      <c r="K2" s="17" t="s">
        <v>210</v>
      </c>
      <c r="L2" s="17" t="s">
        <v>211</v>
      </c>
      <c r="M2" s="17" t="s">
        <v>212</v>
      </c>
      <c r="N2" s="17" t="s">
        <v>213</v>
      </c>
      <c r="O2" s="17" t="s">
        <v>214</v>
      </c>
      <c r="P2" s="17" t="s">
        <v>215</v>
      </c>
      <c r="Q2" s="17" t="s">
        <v>216</v>
      </c>
      <c r="R2" s="10" t="s">
        <v>217</v>
      </c>
      <c r="S2" s="10" t="s">
        <v>218</v>
      </c>
      <c r="T2" s="10" t="s">
        <v>219</v>
      </c>
      <c r="U2" s="17" t="s">
        <v>220</v>
      </c>
      <c r="V2" s="10" t="s">
        <v>221</v>
      </c>
    </row>
    <row r="3" spans="1:22" x14ac:dyDescent="0.25">
      <c r="A3" s="22">
        <v>1</v>
      </c>
      <c r="B3" s="23">
        <v>46023</v>
      </c>
      <c r="C3" s="23">
        <v>46053</v>
      </c>
      <c r="D3" s="23">
        <v>46053</v>
      </c>
      <c r="E3" s="4" t="s">
        <v>222</v>
      </c>
      <c r="F3" s="9">
        <v>599259.9605104219</v>
      </c>
      <c r="G3" s="18" t="s">
        <v>1</v>
      </c>
      <c r="H3" s="4" t="s">
        <v>1</v>
      </c>
      <c r="I3" s="9">
        <v>0</v>
      </c>
      <c r="J3" s="9">
        <v>599259.9605104219</v>
      </c>
      <c r="K3" s="16">
        <v>0.004867550565343048</v>
      </c>
      <c r="L3" s="25">
        <v>1</v>
      </c>
      <c r="M3" s="16">
        <v>0.004867550565343048</v>
      </c>
      <c r="N3" s="9">
        <v>2916.9281595699567</v>
      </c>
      <c r="O3" s="9">
        <v>2916.9281595699567</v>
      </c>
      <c r="P3" s="9">
        <v>0</v>
      </c>
      <c r="Q3" s="9">
        <v>602176.8886699919</v>
      </c>
      <c r="R3" s="9">
        <v>602176.8886699919</v>
      </c>
      <c r="S3" s="9">
        <v>0</v>
      </c>
      <c r="T3" s="4" t="s">
        <v>223</v>
      </c>
      <c r="U3" s="18" t="s">
        <v>1</v>
      </c>
      <c r="V3" s="4" t="s">
        <v>224</v>
      </c>
    </row>
    <row r="4" spans="1:22" x14ac:dyDescent="0.25">
      <c r="A4" s="19">
        <v>2</v>
      </c>
      <c r="B4" s="24">
        <v>46054</v>
      </c>
      <c r="C4" s="24">
        <v>46081</v>
      </c>
      <c r="D4" s="24">
        <v>46081</v>
      </c>
      <c r="E4" s="26" t="s">
        <v>222</v>
      </c>
      <c r="F4" s="21">
        <v>602176.8886699919</v>
      </c>
      <c r="G4" s="27" t="s">
        <v>1</v>
      </c>
      <c r="H4" s="26" t="s">
        <v>1</v>
      </c>
      <c r="I4" s="21">
        <v>0</v>
      </c>
      <c r="J4" s="21">
        <v>602176.8886699919</v>
      </c>
      <c r="K4" s="28">
        <v>0.004867550565343048</v>
      </c>
      <c r="L4" s="29">
        <v>1</v>
      </c>
      <c r="M4" s="28">
        <v>0.004867550565343048</v>
      </c>
      <c r="N4" s="21">
        <v>2931.126454882137</v>
      </c>
      <c r="O4" s="21">
        <v>2931.126454882137</v>
      </c>
      <c r="P4" s="21">
        <v>0</v>
      </c>
      <c r="Q4" s="21">
        <v>605108.015124874</v>
      </c>
      <c r="R4" s="21">
        <v>605108.015124874</v>
      </c>
      <c r="S4" s="21">
        <v>0</v>
      </c>
      <c r="T4" s="26" t="s">
        <v>225</v>
      </c>
      <c r="U4" s="27" t="s">
        <v>1</v>
      </c>
      <c r="V4" s="26" t="s">
        <v>226</v>
      </c>
    </row>
    <row r="5" spans="1:22" x14ac:dyDescent="0.25">
      <c r="A5" s="22">
        <v>3</v>
      </c>
      <c r="B5" s="23">
        <v>46082</v>
      </c>
      <c r="C5" s="23">
        <v>46112</v>
      </c>
      <c r="D5" s="23">
        <v>46112</v>
      </c>
      <c r="E5" s="4" t="s">
        <v>222</v>
      </c>
      <c r="F5" s="9">
        <v>605108.015124874</v>
      </c>
      <c r="G5" s="18" t="s">
        <v>1</v>
      </c>
      <c r="H5" s="4" t="s">
        <v>1</v>
      </c>
      <c r="I5" s="9">
        <v>12000</v>
      </c>
      <c r="J5" s="9">
        <v>605108.015124874</v>
      </c>
      <c r="K5" s="16">
        <v>0.004867550565343048</v>
      </c>
      <c r="L5" s="25">
        <v>1</v>
      </c>
      <c r="M5" s="16">
        <v>0.004867550565343048</v>
      </c>
      <c r="N5" s="9">
        <v>2945.39386111469</v>
      </c>
      <c r="O5" s="9">
        <v>2945.39386111469</v>
      </c>
      <c r="P5" s="9">
        <v>0</v>
      </c>
      <c r="Q5" s="9">
        <v>596053.4089859887</v>
      </c>
      <c r="R5" s="9">
        <v>596053.4089859887</v>
      </c>
      <c r="S5" s="9">
        <v>0</v>
      </c>
      <c r="T5" s="4" t="s">
        <v>227</v>
      </c>
      <c r="U5" s="18" t="s">
        <v>228</v>
      </c>
      <c r="V5" s="4" t="s">
        <v>229</v>
      </c>
    </row>
    <row r="6" spans="1:22" x14ac:dyDescent="0.25">
      <c r="A6" s="19">
        <v>4</v>
      </c>
      <c r="B6" s="24">
        <v>46113</v>
      </c>
      <c r="C6" s="24">
        <v>46142</v>
      </c>
      <c r="D6" s="24">
        <v>46142</v>
      </c>
      <c r="E6" s="26" t="s">
        <v>222</v>
      </c>
      <c r="F6" s="21">
        <v>596053.4089859887</v>
      </c>
      <c r="G6" s="27" t="s">
        <v>1</v>
      </c>
      <c r="H6" s="26" t="s">
        <v>1</v>
      </c>
      <c r="I6" s="21">
        <v>12000</v>
      </c>
      <c r="J6" s="21">
        <v>596053.4089859887</v>
      </c>
      <c r="K6" s="28">
        <v>0.004867550565343048</v>
      </c>
      <c r="L6" s="29">
        <v>1</v>
      </c>
      <c r="M6" s="28">
        <v>0.004867550565343048</v>
      </c>
      <c r="N6" s="21">
        <v>2901.3201078844004</v>
      </c>
      <c r="O6" s="21">
        <v>2901.3201078844004</v>
      </c>
      <c r="P6" s="21">
        <v>0</v>
      </c>
      <c r="Q6" s="21">
        <v>586954.7290938731</v>
      </c>
      <c r="R6" s="21">
        <v>586954.7290938731</v>
      </c>
      <c r="S6" s="21">
        <v>0</v>
      </c>
      <c r="T6" s="26" t="s">
        <v>230</v>
      </c>
      <c r="U6" s="27" t="s">
        <v>231</v>
      </c>
      <c r="V6" s="26" t="s">
        <v>229</v>
      </c>
    </row>
    <row r="7" spans="1:22" x14ac:dyDescent="0.25">
      <c r="A7" s="22">
        <v>5</v>
      </c>
      <c r="B7" s="23">
        <v>46143</v>
      </c>
      <c r="C7" s="23">
        <v>46173</v>
      </c>
      <c r="D7" s="23">
        <v>46173</v>
      </c>
      <c r="E7" s="4" t="s">
        <v>222</v>
      </c>
      <c r="F7" s="9">
        <v>586954.7290938731</v>
      </c>
      <c r="G7" s="18" t="s">
        <v>1</v>
      </c>
      <c r="H7" s="4" t="s">
        <v>1</v>
      </c>
      <c r="I7" s="9">
        <v>12000</v>
      </c>
      <c r="J7" s="9">
        <v>586954.7290938731</v>
      </c>
      <c r="K7" s="16">
        <v>0.004867550565343048</v>
      </c>
      <c r="L7" s="25">
        <v>1</v>
      </c>
      <c r="M7" s="16">
        <v>0.004867550565343048</v>
      </c>
      <c r="N7" s="9">
        <v>2857.031823431658</v>
      </c>
      <c r="O7" s="9">
        <v>2857.031823431658</v>
      </c>
      <c r="P7" s="9">
        <v>0</v>
      </c>
      <c r="Q7" s="9">
        <v>577811.7609173047</v>
      </c>
      <c r="R7" s="9">
        <v>577811.7609173047</v>
      </c>
      <c r="S7" s="9">
        <v>0</v>
      </c>
      <c r="T7" s="4" t="s">
        <v>232</v>
      </c>
      <c r="U7" s="18" t="s">
        <v>233</v>
      </c>
      <c r="V7" s="4" t="s">
        <v>229</v>
      </c>
    </row>
    <row r="8" spans="1:22" x14ac:dyDescent="0.25">
      <c r="A8" s="19">
        <v>6</v>
      </c>
      <c r="B8" s="24">
        <v>46174</v>
      </c>
      <c r="C8" s="24">
        <v>46203</v>
      </c>
      <c r="D8" s="24">
        <v>46203</v>
      </c>
      <c r="E8" s="26" t="s">
        <v>222</v>
      </c>
      <c r="F8" s="21">
        <v>577811.7609173047</v>
      </c>
      <c r="G8" s="27" t="s">
        <v>1</v>
      </c>
      <c r="H8" s="26" t="s">
        <v>1</v>
      </c>
      <c r="I8" s="21">
        <v>12000</v>
      </c>
      <c r="J8" s="21">
        <v>577811.7609173047</v>
      </c>
      <c r="K8" s="28">
        <v>0.004867550565343048</v>
      </c>
      <c r="L8" s="29">
        <v>1</v>
      </c>
      <c r="M8" s="28">
        <v>0.004867550565343048</v>
      </c>
      <c r="N8" s="21">
        <v>2812.5279635148886</v>
      </c>
      <c r="O8" s="21">
        <v>2812.5279635148886</v>
      </c>
      <c r="P8" s="21">
        <v>0</v>
      </c>
      <c r="Q8" s="21">
        <v>568624.2888808196</v>
      </c>
      <c r="R8" s="21">
        <v>568624.2888808196</v>
      </c>
      <c r="S8" s="21">
        <v>0</v>
      </c>
      <c r="T8" s="26" t="s">
        <v>234</v>
      </c>
      <c r="U8" s="27" t="s">
        <v>235</v>
      </c>
      <c r="V8" s="26" t="s">
        <v>229</v>
      </c>
    </row>
    <row r="9" spans="1:22" x14ac:dyDescent="0.25">
      <c r="A9" s="22">
        <v>7</v>
      </c>
      <c r="B9" s="23">
        <v>46204</v>
      </c>
      <c r="C9" s="23">
        <v>46234</v>
      </c>
      <c r="D9" s="23">
        <v>46234</v>
      </c>
      <c r="E9" s="4" t="s">
        <v>222</v>
      </c>
      <c r="F9" s="9">
        <v>568624.2888808196</v>
      </c>
      <c r="G9" s="18" t="s">
        <v>1</v>
      </c>
      <c r="H9" s="4" t="s">
        <v>1</v>
      </c>
      <c r="I9" s="9">
        <v>12000</v>
      </c>
      <c r="J9" s="9">
        <v>568624.2888808196</v>
      </c>
      <c r="K9" s="16">
        <v>0.004867550565343048</v>
      </c>
      <c r="L9" s="25">
        <v>1</v>
      </c>
      <c r="M9" s="16">
        <v>0.004867550565343048</v>
      </c>
      <c r="N9" s="9">
        <v>2767.8074788096224</v>
      </c>
      <c r="O9" s="9">
        <v>2767.8074788096224</v>
      </c>
      <c r="P9" s="9">
        <v>0</v>
      </c>
      <c r="Q9" s="9">
        <v>559392.0963596292</v>
      </c>
      <c r="R9" s="9">
        <v>559392.0963596292</v>
      </c>
      <c r="S9" s="9">
        <v>0</v>
      </c>
      <c r="T9" s="4" t="s">
        <v>236</v>
      </c>
      <c r="U9" s="18" t="s">
        <v>237</v>
      </c>
      <c r="V9" s="4" t="s">
        <v>229</v>
      </c>
    </row>
    <row r="10" spans="1:22" x14ac:dyDescent="0.25">
      <c r="A10" s="19">
        <v>8</v>
      </c>
      <c r="B10" s="24">
        <v>46235</v>
      </c>
      <c r="C10" s="24">
        <v>46265</v>
      </c>
      <c r="D10" s="24">
        <v>46265</v>
      </c>
      <c r="E10" s="26" t="s">
        <v>222</v>
      </c>
      <c r="F10" s="21">
        <v>559392.0963596292</v>
      </c>
      <c r="G10" s="27" t="s">
        <v>1</v>
      </c>
      <c r="H10" s="26" t="s">
        <v>1</v>
      </c>
      <c r="I10" s="21">
        <v>12000</v>
      </c>
      <c r="J10" s="21">
        <v>559392.0963596292</v>
      </c>
      <c r="K10" s="28">
        <v>0.004867550565343048</v>
      </c>
      <c r="L10" s="29">
        <v>1</v>
      </c>
      <c r="M10" s="28">
        <v>0.004867550565343048</v>
      </c>
      <c r="N10" s="21">
        <v>2722.869314883746</v>
      </c>
      <c r="O10" s="21">
        <v>2722.869314883746</v>
      </c>
      <c r="P10" s="21">
        <v>0</v>
      </c>
      <c r="Q10" s="21">
        <v>550114.9656745129</v>
      </c>
      <c r="R10" s="21">
        <v>550114.9656745129</v>
      </c>
      <c r="S10" s="21">
        <v>0</v>
      </c>
      <c r="T10" s="26" t="s">
        <v>238</v>
      </c>
      <c r="U10" s="27" t="s">
        <v>239</v>
      </c>
      <c r="V10" s="26" t="s">
        <v>229</v>
      </c>
    </row>
    <row r="11" spans="1:22" x14ac:dyDescent="0.25">
      <c r="A11" s="22">
        <v>9</v>
      </c>
      <c r="B11" s="23">
        <v>46266</v>
      </c>
      <c r="C11" s="23">
        <v>46295</v>
      </c>
      <c r="D11" s="23">
        <v>46295</v>
      </c>
      <c r="E11" s="4" t="s">
        <v>222</v>
      </c>
      <c r="F11" s="9">
        <v>550114.9656745129</v>
      </c>
      <c r="G11" s="18" t="s">
        <v>1</v>
      </c>
      <c r="H11" s="4" t="s">
        <v>1</v>
      </c>
      <c r="I11" s="9">
        <v>12000</v>
      </c>
      <c r="J11" s="9">
        <v>550114.9656745129</v>
      </c>
      <c r="K11" s="16">
        <v>0.004867550565343048</v>
      </c>
      <c r="L11" s="25">
        <v>1</v>
      </c>
      <c r="M11" s="16">
        <v>0.004867550565343048</v>
      </c>
      <c r="N11" s="9">
        <v>2677.712412172647</v>
      </c>
      <c r="O11" s="9">
        <v>2677.712412172647</v>
      </c>
      <c r="P11" s="9">
        <v>0</v>
      </c>
      <c r="Q11" s="9">
        <v>540792.6780866856</v>
      </c>
      <c r="R11" s="9">
        <v>540792.6780866856</v>
      </c>
      <c r="S11" s="9">
        <v>0</v>
      </c>
      <c r="T11" s="4" t="s">
        <v>240</v>
      </c>
      <c r="U11" s="18" t="s">
        <v>241</v>
      </c>
      <c r="V11" s="4" t="s">
        <v>229</v>
      </c>
    </row>
    <row r="12" spans="1:22" x14ac:dyDescent="0.25">
      <c r="A12" s="19">
        <v>10</v>
      </c>
      <c r="B12" s="24">
        <v>46296</v>
      </c>
      <c r="C12" s="24">
        <v>46326</v>
      </c>
      <c r="D12" s="24">
        <v>46326</v>
      </c>
      <c r="E12" s="26" t="s">
        <v>222</v>
      </c>
      <c r="F12" s="21">
        <v>540792.6780866856</v>
      </c>
      <c r="G12" s="27" t="s">
        <v>1</v>
      </c>
      <c r="H12" s="26" t="s">
        <v>1</v>
      </c>
      <c r="I12" s="21">
        <v>12000</v>
      </c>
      <c r="J12" s="21">
        <v>540792.6780866856</v>
      </c>
      <c r="K12" s="28">
        <v>0.004867550565343048</v>
      </c>
      <c r="L12" s="29">
        <v>1</v>
      </c>
      <c r="M12" s="28">
        <v>0.004867550565343048</v>
      </c>
      <c r="N12" s="21">
        <v>2632.3357059542277</v>
      </c>
      <c r="O12" s="21">
        <v>2632.3357059542277</v>
      </c>
      <c r="P12" s="21">
        <v>0</v>
      </c>
      <c r="Q12" s="21">
        <v>531425.0137926398</v>
      </c>
      <c r="R12" s="21">
        <v>531425.0137926398</v>
      </c>
      <c r="S12" s="21">
        <v>0</v>
      </c>
      <c r="T12" s="26" t="s">
        <v>242</v>
      </c>
      <c r="U12" s="27" t="s">
        <v>243</v>
      </c>
      <c r="V12" s="26" t="s">
        <v>229</v>
      </c>
    </row>
    <row r="13" spans="1:22" x14ac:dyDescent="0.25">
      <c r="A13" s="22">
        <v>11</v>
      </c>
      <c r="B13" s="23">
        <v>46327</v>
      </c>
      <c r="C13" s="23">
        <v>46356</v>
      </c>
      <c r="D13" s="23">
        <v>46356</v>
      </c>
      <c r="E13" s="4" t="s">
        <v>222</v>
      </c>
      <c r="F13" s="9">
        <v>531425.0137926398</v>
      </c>
      <c r="G13" s="18" t="s">
        <v>1</v>
      </c>
      <c r="H13" s="4" t="s">
        <v>1</v>
      </c>
      <c r="I13" s="9">
        <v>12000</v>
      </c>
      <c r="J13" s="9">
        <v>531425.0137926398</v>
      </c>
      <c r="K13" s="16">
        <v>0.004867550565343048</v>
      </c>
      <c r="L13" s="25">
        <v>1</v>
      </c>
      <c r="M13" s="16">
        <v>0.004867550565343048</v>
      </c>
      <c r="N13" s="9">
        <v>2586.738126323801</v>
      </c>
      <c r="O13" s="9">
        <v>2586.738126323801</v>
      </c>
      <c r="P13" s="9">
        <v>0</v>
      </c>
      <c r="Q13" s="9">
        <v>522011.7519189636</v>
      </c>
      <c r="R13" s="9">
        <v>522011.7519189636</v>
      </c>
      <c r="S13" s="9">
        <v>0</v>
      </c>
      <c r="T13" s="4" t="s">
        <v>244</v>
      </c>
      <c r="U13" s="18" t="s">
        <v>245</v>
      </c>
      <c r="V13" s="4" t="s">
        <v>229</v>
      </c>
    </row>
    <row r="14" spans="1:22" x14ac:dyDescent="0.25">
      <c r="A14" s="19">
        <v>12</v>
      </c>
      <c r="B14" s="24">
        <v>46357</v>
      </c>
      <c r="C14" s="24">
        <v>46387</v>
      </c>
      <c r="D14" s="24">
        <v>46387</v>
      </c>
      <c r="E14" s="26" t="s">
        <v>222</v>
      </c>
      <c r="F14" s="21">
        <v>522011.7519189636</v>
      </c>
      <c r="G14" s="27" t="s">
        <v>1</v>
      </c>
      <c r="H14" s="26" t="s">
        <v>1</v>
      </c>
      <c r="I14" s="21">
        <v>12000</v>
      </c>
      <c r="J14" s="21">
        <v>522011.7519189636</v>
      </c>
      <c r="K14" s="28">
        <v>0.004867550565343048</v>
      </c>
      <c r="L14" s="29">
        <v>1</v>
      </c>
      <c r="M14" s="28">
        <v>0.004867550565343048</v>
      </c>
      <c r="N14" s="21">
        <v>2540.9185981688665</v>
      </c>
      <c r="O14" s="21">
        <v>2540.9185981688665</v>
      </c>
      <c r="P14" s="21">
        <v>0</v>
      </c>
      <c r="Q14" s="21">
        <v>512552.6705171325</v>
      </c>
      <c r="R14" s="21">
        <v>512552.6705171325</v>
      </c>
      <c r="S14" s="21">
        <v>0</v>
      </c>
      <c r="T14" s="26" t="s">
        <v>246</v>
      </c>
      <c r="U14" s="27" t="s">
        <v>247</v>
      </c>
      <c r="V14" s="26" t="s">
        <v>229</v>
      </c>
    </row>
    <row r="15" spans="1:22" x14ac:dyDescent="0.25">
      <c r="A15" s="22">
        <v>13</v>
      </c>
      <c r="B15" s="23">
        <v>46388</v>
      </c>
      <c r="C15" s="23">
        <v>46418</v>
      </c>
      <c r="D15" s="23">
        <v>46418</v>
      </c>
      <c r="E15" s="4" t="s">
        <v>222</v>
      </c>
      <c r="F15" s="9">
        <v>533054.777337818</v>
      </c>
      <c r="G15" s="9">
        <v>20502.11</v>
      </c>
      <c r="H15" s="4" t="s">
        <v>248</v>
      </c>
      <c r="I15" s="9">
        <v>12480</v>
      </c>
      <c r="J15" s="9">
        <v>533054.777337818</v>
      </c>
      <c r="K15" s="16">
        <v>0.004867550565343048</v>
      </c>
      <c r="L15" s="25">
        <v>1</v>
      </c>
      <c r="M15" s="16">
        <v>0.004867550565343048</v>
      </c>
      <c r="N15" s="9">
        <v>2594.671082789509</v>
      </c>
      <c r="O15" s="9">
        <v>2594.671082789509</v>
      </c>
      <c r="P15" s="9">
        <v>0</v>
      </c>
      <c r="Q15" s="9">
        <v>523169.4484206076</v>
      </c>
      <c r="R15" s="9">
        <v>523169.4484206076</v>
      </c>
      <c r="S15" s="9">
        <v>0</v>
      </c>
      <c r="T15" s="4" t="s">
        <v>249</v>
      </c>
      <c r="U15" s="18" t="s">
        <v>250</v>
      </c>
      <c r="V15" s="4" t="s">
        <v>251</v>
      </c>
    </row>
    <row r="16" spans="1:22" x14ac:dyDescent="0.25">
      <c r="A16" s="19">
        <v>14</v>
      </c>
      <c r="B16" s="24">
        <v>46419</v>
      </c>
      <c r="C16" s="24">
        <v>46446</v>
      </c>
      <c r="D16" s="24">
        <v>46446</v>
      </c>
      <c r="E16" s="26" t="s">
        <v>222</v>
      </c>
      <c r="F16" s="21">
        <v>523169.4484206076</v>
      </c>
      <c r="G16" s="27" t="s">
        <v>1</v>
      </c>
      <c r="H16" s="26" t="s">
        <v>1</v>
      </c>
      <c r="I16" s="21">
        <v>12480</v>
      </c>
      <c r="J16" s="21">
        <v>523169.4484206076</v>
      </c>
      <c r="K16" s="28">
        <v>0.004867550565343048</v>
      </c>
      <c r="L16" s="29">
        <v>1</v>
      </c>
      <c r="M16" s="28">
        <v>0.004867550565343048</v>
      </c>
      <c r="N16" s="21">
        <v>2546.5537444299393</v>
      </c>
      <c r="O16" s="21">
        <v>2546.5537444299393</v>
      </c>
      <c r="P16" s="21">
        <v>0</v>
      </c>
      <c r="Q16" s="21">
        <v>513236.00216503756</v>
      </c>
      <c r="R16" s="21">
        <v>513236.00216503756</v>
      </c>
      <c r="S16" s="21">
        <v>0</v>
      </c>
      <c r="T16" s="26" t="s">
        <v>252</v>
      </c>
      <c r="U16" s="27" t="s">
        <v>253</v>
      </c>
      <c r="V16" s="26" t="s">
        <v>229</v>
      </c>
    </row>
    <row r="17" spans="1:22" x14ac:dyDescent="0.25">
      <c r="A17" s="22">
        <v>15</v>
      </c>
      <c r="B17" s="23">
        <v>46447</v>
      </c>
      <c r="C17" s="23">
        <v>46477</v>
      </c>
      <c r="D17" s="23">
        <v>46477</v>
      </c>
      <c r="E17" s="4" t="s">
        <v>222</v>
      </c>
      <c r="F17" s="9">
        <v>513236.00216503756</v>
      </c>
      <c r="G17" s="18" t="s">
        <v>1</v>
      </c>
      <c r="H17" s="4" t="s">
        <v>1</v>
      </c>
      <c r="I17" s="9">
        <v>12480</v>
      </c>
      <c r="J17" s="9">
        <v>513236.00216503756</v>
      </c>
      <c r="K17" s="16">
        <v>0.004867550565343048</v>
      </c>
      <c r="L17" s="25">
        <v>1</v>
      </c>
      <c r="M17" s="16">
        <v>0.004867550565343048</v>
      </c>
      <c r="N17" s="9">
        <v>2498.2021924928345</v>
      </c>
      <c r="O17" s="9">
        <v>2498.2021924928345</v>
      </c>
      <c r="P17" s="9">
        <v>0</v>
      </c>
      <c r="Q17" s="9">
        <v>503254.2043575304</v>
      </c>
      <c r="R17" s="9">
        <v>503254.2043575304</v>
      </c>
      <c r="S17" s="9">
        <v>0</v>
      </c>
      <c r="T17" s="4" t="s">
        <v>254</v>
      </c>
      <c r="U17" s="18" t="s">
        <v>255</v>
      </c>
      <c r="V17" s="4" t="s">
        <v>229</v>
      </c>
    </row>
    <row r="18" spans="1:22" x14ac:dyDescent="0.25">
      <c r="A18" s="19">
        <v>16</v>
      </c>
      <c r="B18" s="24">
        <v>46478</v>
      </c>
      <c r="C18" s="24">
        <v>46507</v>
      </c>
      <c r="D18" s="24">
        <v>46507</v>
      </c>
      <c r="E18" s="26" t="s">
        <v>222</v>
      </c>
      <c r="F18" s="21">
        <v>503254.2043575304</v>
      </c>
      <c r="G18" s="27" t="s">
        <v>1</v>
      </c>
      <c r="H18" s="26" t="s">
        <v>1</v>
      </c>
      <c r="I18" s="21">
        <v>12480</v>
      </c>
      <c r="J18" s="21">
        <v>503254.2043575304</v>
      </c>
      <c r="K18" s="28">
        <v>0.004867550565343048</v>
      </c>
      <c r="L18" s="29">
        <v>1</v>
      </c>
      <c r="M18" s="28">
        <v>0.004867550565343048</v>
      </c>
      <c r="N18" s="21">
        <v>2449.615286931763</v>
      </c>
      <c r="O18" s="21">
        <v>2449.615286931763</v>
      </c>
      <c r="P18" s="21">
        <v>0</v>
      </c>
      <c r="Q18" s="21">
        <v>493223.81964446214</v>
      </c>
      <c r="R18" s="21">
        <v>493223.81964446214</v>
      </c>
      <c r="S18" s="21">
        <v>0</v>
      </c>
      <c r="T18" s="26" t="s">
        <v>256</v>
      </c>
      <c r="U18" s="27" t="s">
        <v>257</v>
      </c>
      <c r="V18" s="26" t="s">
        <v>229</v>
      </c>
    </row>
    <row r="19" spans="1:22" x14ac:dyDescent="0.25">
      <c r="A19" s="22">
        <v>17</v>
      </c>
      <c r="B19" s="23">
        <v>46508</v>
      </c>
      <c r="C19" s="23">
        <v>46538</v>
      </c>
      <c r="D19" s="23">
        <v>46538</v>
      </c>
      <c r="E19" s="4" t="s">
        <v>222</v>
      </c>
      <c r="F19" s="9">
        <v>493223.81964446214</v>
      </c>
      <c r="G19" s="18" t="s">
        <v>1</v>
      </c>
      <c r="H19" s="4" t="s">
        <v>1</v>
      </c>
      <c r="I19" s="9">
        <v>12480</v>
      </c>
      <c r="J19" s="9">
        <v>493223.81964446214</v>
      </c>
      <c r="K19" s="16">
        <v>0.004867550565343048</v>
      </c>
      <c r="L19" s="25">
        <v>1</v>
      </c>
      <c r="M19" s="16">
        <v>0.004867550565343048</v>
      </c>
      <c r="N19" s="9">
        <v>2400.7918821510593</v>
      </c>
      <c r="O19" s="9">
        <v>2400.7918821510593</v>
      </c>
      <c r="P19" s="9">
        <v>0</v>
      </c>
      <c r="Q19" s="9">
        <v>483144.6115266132</v>
      </c>
      <c r="R19" s="9">
        <v>483144.6115266132</v>
      </c>
      <c r="S19" s="9">
        <v>0</v>
      </c>
      <c r="T19" s="4" t="s">
        <v>258</v>
      </c>
      <c r="U19" s="18" t="s">
        <v>259</v>
      </c>
      <c r="V19" s="4" t="s">
        <v>229</v>
      </c>
    </row>
    <row r="20" spans="1:22" x14ac:dyDescent="0.25">
      <c r="A20" s="19">
        <v>18</v>
      </c>
      <c r="B20" s="24">
        <v>46539</v>
      </c>
      <c r="C20" s="24">
        <v>46568</v>
      </c>
      <c r="D20" s="24">
        <v>46568</v>
      </c>
      <c r="E20" s="26" t="s">
        <v>222</v>
      </c>
      <c r="F20" s="21">
        <v>483144.6115266132</v>
      </c>
      <c r="G20" s="27" t="s">
        <v>1</v>
      </c>
      <c r="H20" s="26" t="s">
        <v>1</v>
      </c>
      <c r="I20" s="21">
        <v>12480</v>
      </c>
      <c r="J20" s="21">
        <v>483144.6115266132</v>
      </c>
      <c r="K20" s="28">
        <v>0.004867550565343048</v>
      </c>
      <c r="L20" s="29">
        <v>1</v>
      </c>
      <c r="M20" s="28">
        <v>0.004867550565343048</v>
      </c>
      <c r="N20" s="21">
        <v>2351.7308269788136</v>
      </c>
      <c r="O20" s="21">
        <v>2351.7308269788136</v>
      </c>
      <c r="P20" s="21">
        <v>0</v>
      </c>
      <c r="Q20" s="21">
        <v>473016.342353592</v>
      </c>
      <c r="R20" s="21">
        <v>473016.342353592</v>
      </c>
      <c r="S20" s="21">
        <v>0</v>
      </c>
      <c r="T20" s="26" t="s">
        <v>260</v>
      </c>
      <c r="U20" s="27" t="s">
        <v>261</v>
      </c>
      <c r="V20" s="26" t="s">
        <v>229</v>
      </c>
    </row>
    <row r="21" spans="1:22" x14ac:dyDescent="0.25">
      <c r="A21" s="22">
        <v>19</v>
      </c>
      <c r="B21" s="23">
        <v>46569</v>
      </c>
      <c r="C21" s="23">
        <v>46599</v>
      </c>
      <c r="D21" s="23">
        <v>46599</v>
      </c>
      <c r="E21" s="4" t="s">
        <v>222</v>
      </c>
      <c r="F21" s="9">
        <v>473016.342353592</v>
      </c>
      <c r="G21" s="18" t="s">
        <v>1</v>
      </c>
      <c r="H21" s="4" t="s">
        <v>1</v>
      </c>
      <c r="I21" s="9">
        <v>12480</v>
      </c>
      <c r="J21" s="9">
        <v>473016.342353592</v>
      </c>
      <c r="K21" s="16">
        <v>0.004867550565343048</v>
      </c>
      <c r="L21" s="25">
        <v>1</v>
      </c>
      <c r="M21" s="16">
        <v>0.004867550565343048</v>
      </c>
      <c r="N21" s="9">
        <v>2302.430964639728</v>
      </c>
      <c r="O21" s="9">
        <v>2302.430964639728</v>
      </c>
      <c r="P21" s="9">
        <v>0</v>
      </c>
      <c r="Q21" s="9">
        <v>462838.7733182317</v>
      </c>
      <c r="R21" s="9">
        <v>462838.7733182317</v>
      </c>
      <c r="S21" s="9">
        <v>0</v>
      </c>
      <c r="T21" s="4" t="s">
        <v>262</v>
      </c>
      <c r="U21" s="18" t="s">
        <v>263</v>
      </c>
      <c r="V21" s="4" t="s">
        <v>229</v>
      </c>
    </row>
    <row r="22" spans="1:22" x14ac:dyDescent="0.25">
      <c r="A22" s="19">
        <v>20</v>
      </c>
      <c r="B22" s="24">
        <v>46600</v>
      </c>
      <c r="C22" s="24">
        <v>46630</v>
      </c>
      <c r="D22" s="24">
        <v>46630</v>
      </c>
      <c r="E22" s="26" t="s">
        <v>222</v>
      </c>
      <c r="F22" s="21">
        <v>462838.7733182317</v>
      </c>
      <c r="G22" s="27" t="s">
        <v>1</v>
      </c>
      <c r="H22" s="26" t="s">
        <v>1</v>
      </c>
      <c r="I22" s="21">
        <v>12480</v>
      </c>
      <c r="J22" s="21">
        <v>462838.7733182317</v>
      </c>
      <c r="K22" s="28">
        <v>0.004867550565343048</v>
      </c>
      <c r="L22" s="29">
        <v>1</v>
      </c>
      <c r="M22" s="28">
        <v>0.004867550565343048</v>
      </c>
      <c r="N22" s="21">
        <v>2252.8911327278415</v>
      </c>
      <c r="O22" s="21">
        <v>2252.8911327278415</v>
      </c>
      <c r="P22" s="21">
        <v>0</v>
      </c>
      <c r="Q22" s="21">
        <v>452611.66445095954</v>
      </c>
      <c r="R22" s="21">
        <v>452611.66445095954</v>
      </c>
      <c r="S22" s="21">
        <v>0</v>
      </c>
      <c r="T22" s="26" t="s">
        <v>264</v>
      </c>
      <c r="U22" s="27" t="s">
        <v>265</v>
      </c>
      <c r="V22" s="26" t="s">
        <v>229</v>
      </c>
    </row>
    <row r="23" spans="1:22" x14ac:dyDescent="0.25">
      <c r="A23" s="22">
        <v>21</v>
      </c>
      <c r="B23" s="23">
        <v>46631</v>
      </c>
      <c r="C23" s="23">
        <v>46660</v>
      </c>
      <c r="D23" s="23">
        <v>46660</v>
      </c>
      <c r="E23" s="4" t="s">
        <v>222</v>
      </c>
      <c r="F23" s="9">
        <v>452611.66445095954</v>
      </c>
      <c r="G23" s="18" t="s">
        <v>1</v>
      </c>
      <c r="H23" s="4" t="s">
        <v>1</v>
      </c>
      <c r="I23" s="9">
        <v>12480</v>
      </c>
      <c r="J23" s="9">
        <v>452611.66445095954</v>
      </c>
      <c r="K23" s="16">
        <v>0.004867550565343048</v>
      </c>
      <c r="L23" s="25">
        <v>1</v>
      </c>
      <c r="M23" s="16">
        <v>0.004867550565343048</v>
      </c>
      <c r="N23" s="9">
        <v>2203.110163179126</v>
      </c>
      <c r="O23" s="9">
        <v>2203.110163179126</v>
      </c>
      <c r="P23" s="9">
        <v>0</v>
      </c>
      <c r="Q23" s="9">
        <v>442334.77461413865</v>
      </c>
      <c r="R23" s="9">
        <v>442334.77461413865</v>
      </c>
      <c r="S23" s="9">
        <v>0</v>
      </c>
      <c r="T23" s="4" t="s">
        <v>266</v>
      </c>
      <c r="U23" s="18" t="s">
        <v>267</v>
      </c>
      <c r="V23" s="4" t="s">
        <v>229</v>
      </c>
    </row>
    <row r="24" spans="1:22" x14ac:dyDescent="0.25">
      <c r="A24" s="19">
        <v>22</v>
      </c>
      <c r="B24" s="24">
        <v>46661</v>
      </c>
      <c r="C24" s="24">
        <v>46691</v>
      </c>
      <c r="D24" s="24">
        <v>46691</v>
      </c>
      <c r="E24" s="26" t="s">
        <v>222</v>
      </c>
      <c r="F24" s="21">
        <v>442334.77461413865</v>
      </c>
      <c r="G24" s="27" t="s">
        <v>1</v>
      </c>
      <c r="H24" s="26" t="s">
        <v>1</v>
      </c>
      <c r="I24" s="21">
        <v>12480</v>
      </c>
      <c r="J24" s="21">
        <v>442334.77461413865</v>
      </c>
      <c r="K24" s="28">
        <v>0.004867550565343048</v>
      </c>
      <c r="L24" s="29">
        <v>1</v>
      </c>
      <c r="M24" s="28">
        <v>0.004867550565343048</v>
      </c>
      <c r="N24" s="21">
        <v>2153.0868822439406</v>
      </c>
      <c r="O24" s="21">
        <v>2153.0868822439406</v>
      </c>
      <c r="P24" s="21">
        <v>0</v>
      </c>
      <c r="Q24" s="21">
        <v>432007.86149638257</v>
      </c>
      <c r="R24" s="21">
        <v>432007.86149638257</v>
      </c>
      <c r="S24" s="21">
        <v>0</v>
      </c>
      <c r="T24" s="26" t="s">
        <v>268</v>
      </c>
      <c r="U24" s="27" t="s">
        <v>269</v>
      </c>
      <c r="V24" s="26" t="s">
        <v>229</v>
      </c>
    </row>
    <row r="25" spans="1:22" x14ac:dyDescent="0.25">
      <c r="A25" s="22">
        <v>23</v>
      </c>
      <c r="B25" s="23">
        <v>46692</v>
      </c>
      <c r="C25" s="23">
        <v>46721</v>
      </c>
      <c r="D25" s="23">
        <v>46721</v>
      </c>
      <c r="E25" s="4" t="s">
        <v>222</v>
      </c>
      <c r="F25" s="9">
        <v>432007.86149638257</v>
      </c>
      <c r="G25" s="18" t="s">
        <v>1</v>
      </c>
      <c r="H25" s="4" t="s">
        <v>1</v>
      </c>
      <c r="I25" s="9">
        <v>12480</v>
      </c>
      <c r="J25" s="9">
        <v>432007.86149638257</v>
      </c>
      <c r="K25" s="16">
        <v>0.004867550565343048</v>
      </c>
      <c r="L25" s="25">
        <v>1</v>
      </c>
      <c r="M25" s="16">
        <v>0.004867550565343048</v>
      </c>
      <c r="N25" s="9">
        <v>2102.820110459358</v>
      </c>
      <c r="O25" s="9">
        <v>2102.820110459358</v>
      </c>
      <c r="P25" s="9">
        <v>0</v>
      </c>
      <c r="Q25" s="9">
        <v>421630.6816068419</v>
      </c>
      <c r="R25" s="9">
        <v>421630.6816068419</v>
      </c>
      <c r="S25" s="9">
        <v>0</v>
      </c>
      <c r="T25" s="4" t="s">
        <v>270</v>
      </c>
      <c r="U25" s="18" t="s">
        <v>271</v>
      </c>
      <c r="V25" s="4" t="s">
        <v>229</v>
      </c>
    </row>
    <row r="26" spans="1:22" x14ac:dyDescent="0.25">
      <c r="A26" s="19">
        <v>24</v>
      </c>
      <c r="B26" s="24">
        <v>46722</v>
      </c>
      <c r="C26" s="24">
        <v>46752</v>
      </c>
      <c r="D26" s="24">
        <v>46752</v>
      </c>
      <c r="E26" s="26" t="s">
        <v>222</v>
      </c>
      <c r="F26" s="21">
        <v>421630.6816068419</v>
      </c>
      <c r="G26" s="27" t="s">
        <v>1</v>
      </c>
      <c r="H26" s="26" t="s">
        <v>1</v>
      </c>
      <c r="I26" s="21">
        <v>12480</v>
      </c>
      <c r="J26" s="21">
        <v>421630.6816068419</v>
      </c>
      <c r="K26" s="28">
        <v>0.004867550565343048</v>
      </c>
      <c r="L26" s="29">
        <v>1</v>
      </c>
      <c r="M26" s="28">
        <v>0.004867550565343048</v>
      </c>
      <c r="N26" s="21">
        <v>2052.308662621358</v>
      </c>
      <c r="O26" s="21">
        <v>2052.308662621358</v>
      </c>
      <c r="P26" s="21">
        <v>0</v>
      </c>
      <c r="Q26" s="21">
        <v>411202.9902694633</v>
      </c>
      <c r="R26" s="21">
        <v>411202.9902694633</v>
      </c>
      <c r="S26" s="21">
        <v>0</v>
      </c>
      <c r="T26" s="26" t="s">
        <v>272</v>
      </c>
      <c r="U26" s="27" t="s">
        <v>273</v>
      </c>
      <c r="V26" s="26" t="s">
        <v>229</v>
      </c>
    </row>
    <row r="27" spans="1:22" x14ac:dyDescent="0.25">
      <c r="A27" s="22">
        <v>25</v>
      </c>
      <c r="B27" s="23">
        <v>46753</v>
      </c>
      <c r="C27" s="23">
        <v>46783</v>
      </c>
      <c r="D27" s="23">
        <v>46783</v>
      </c>
      <c r="E27" s="4" t="s">
        <v>222</v>
      </c>
      <c r="F27" s="9">
        <v>423855.38997006207</v>
      </c>
      <c r="G27" s="9">
        <v>12652.4</v>
      </c>
      <c r="H27" s="4" t="s">
        <v>274</v>
      </c>
      <c r="I27" s="9">
        <v>12864.000000000002</v>
      </c>
      <c r="J27" s="9">
        <v>423855.38997006207</v>
      </c>
      <c r="K27" s="16">
        <v>0.004867550565343048</v>
      </c>
      <c r="L27" s="25">
        <v>1</v>
      </c>
      <c r="M27" s="16">
        <v>0.004867550565343048</v>
      </c>
      <c r="N27" s="9">
        <v>2063.137543072474</v>
      </c>
      <c r="O27" s="9">
        <v>2063.137543072474</v>
      </c>
      <c r="P27" s="9">
        <v>0</v>
      </c>
      <c r="Q27" s="9">
        <v>413054.5275131345</v>
      </c>
      <c r="R27" s="9">
        <v>413054.5275131345</v>
      </c>
      <c r="S27" s="9">
        <v>0</v>
      </c>
      <c r="T27" s="4" t="s">
        <v>275</v>
      </c>
      <c r="U27" s="18" t="s">
        <v>276</v>
      </c>
      <c r="V27" s="4" t="s">
        <v>277</v>
      </c>
    </row>
    <row r="28" spans="1:22" x14ac:dyDescent="0.25">
      <c r="A28" s="19">
        <v>26</v>
      </c>
      <c r="B28" s="24">
        <v>46784</v>
      </c>
      <c r="C28" s="24">
        <v>46812</v>
      </c>
      <c r="D28" s="24">
        <v>46812</v>
      </c>
      <c r="E28" s="26" t="s">
        <v>222</v>
      </c>
      <c r="F28" s="21">
        <v>413054.5275131345</v>
      </c>
      <c r="G28" s="27" t="s">
        <v>1</v>
      </c>
      <c r="H28" s="26" t="s">
        <v>1</v>
      </c>
      <c r="I28" s="21">
        <v>12864.000000000002</v>
      </c>
      <c r="J28" s="21">
        <v>413054.5275131345</v>
      </c>
      <c r="K28" s="28">
        <v>0.004867550565343048</v>
      </c>
      <c r="L28" s="29">
        <v>1</v>
      </c>
      <c r="M28" s="28">
        <v>0.004867550565343048</v>
      </c>
      <c r="N28" s="21">
        <v>2010.5637989140637</v>
      </c>
      <c r="O28" s="21">
        <v>2010.5637989140637</v>
      </c>
      <c r="P28" s="21">
        <v>0</v>
      </c>
      <c r="Q28" s="21">
        <v>402201.0913120486</v>
      </c>
      <c r="R28" s="21">
        <v>402201.0913120486</v>
      </c>
      <c r="S28" s="21">
        <v>0</v>
      </c>
      <c r="T28" s="26" t="s">
        <v>278</v>
      </c>
      <c r="U28" s="27" t="s">
        <v>279</v>
      </c>
      <c r="V28" s="26" t="s">
        <v>229</v>
      </c>
    </row>
    <row r="29" spans="1:22" x14ac:dyDescent="0.25">
      <c r="A29" s="22">
        <v>27</v>
      </c>
      <c r="B29" s="23">
        <v>46813</v>
      </c>
      <c r="C29" s="23">
        <v>46843</v>
      </c>
      <c r="D29" s="23">
        <v>46843</v>
      </c>
      <c r="E29" s="4" t="s">
        <v>222</v>
      </c>
      <c r="F29" s="9">
        <v>402201.0913120486</v>
      </c>
      <c r="G29" s="18" t="s">
        <v>1</v>
      </c>
      <c r="H29" s="4" t="s">
        <v>1</v>
      </c>
      <c r="I29" s="9">
        <v>12864.000000000002</v>
      </c>
      <c r="J29" s="9">
        <v>402201.0913120486</v>
      </c>
      <c r="K29" s="16">
        <v>0.004867550565343048</v>
      </c>
      <c r="L29" s="25">
        <v>1</v>
      </c>
      <c r="M29" s="16">
        <v>0.004867550565343048</v>
      </c>
      <c r="N29" s="9">
        <v>1957.7341493975532</v>
      </c>
      <c r="O29" s="9">
        <v>1957.7341493975532</v>
      </c>
      <c r="P29" s="9">
        <v>0</v>
      </c>
      <c r="Q29" s="9">
        <v>391294.82546144613</v>
      </c>
      <c r="R29" s="9">
        <v>391294.82546144613</v>
      </c>
      <c r="S29" s="9">
        <v>0</v>
      </c>
      <c r="T29" s="4" t="s">
        <v>280</v>
      </c>
      <c r="U29" s="18" t="s">
        <v>281</v>
      </c>
      <c r="V29" s="4" t="s">
        <v>229</v>
      </c>
    </row>
    <row r="30" spans="1:22" x14ac:dyDescent="0.25">
      <c r="A30" s="19">
        <v>28</v>
      </c>
      <c r="B30" s="24">
        <v>46844</v>
      </c>
      <c r="C30" s="24">
        <v>46873</v>
      </c>
      <c r="D30" s="24">
        <v>46873</v>
      </c>
      <c r="E30" s="26" t="s">
        <v>222</v>
      </c>
      <c r="F30" s="21">
        <v>391294.82546144613</v>
      </c>
      <c r="G30" s="27" t="s">
        <v>1</v>
      </c>
      <c r="H30" s="26" t="s">
        <v>1</v>
      </c>
      <c r="I30" s="21">
        <v>12864.000000000002</v>
      </c>
      <c r="J30" s="21">
        <v>391294.82546144613</v>
      </c>
      <c r="K30" s="28">
        <v>0.004867550565343048</v>
      </c>
      <c r="L30" s="29">
        <v>1</v>
      </c>
      <c r="M30" s="28">
        <v>0.004867550565343048</v>
      </c>
      <c r="N30" s="21">
        <v>1904.6473488906715</v>
      </c>
      <c r="O30" s="21">
        <v>1904.6473488906715</v>
      </c>
      <c r="P30" s="21">
        <v>0</v>
      </c>
      <c r="Q30" s="21">
        <v>380335.4728103368</v>
      </c>
      <c r="R30" s="21">
        <v>380335.4728103368</v>
      </c>
      <c r="S30" s="21">
        <v>0</v>
      </c>
      <c r="T30" s="26" t="s">
        <v>282</v>
      </c>
      <c r="U30" s="27" t="s">
        <v>283</v>
      </c>
      <c r="V30" s="26" t="s">
        <v>229</v>
      </c>
    </row>
    <row r="31" spans="1:22" x14ac:dyDescent="0.25">
      <c r="A31" s="22">
        <v>29</v>
      </c>
      <c r="B31" s="23">
        <v>46874</v>
      </c>
      <c r="C31" s="23">
        <v>46904</v>
      </c>
      <c r="D31" s="23">
        <v>46904</v>
      </c>
      <c r="E31" s="4" t="s">
        <v>222</v>
      </c>
      <c r="F31" s="9">
        <v>380335.4728103368</v>
      </c>
      <c r="G31" s="18" t="s">
        <v>1</v>
      </c>
      <c r="H31" s="4" t="s">
        <v>1</v>
      </c>
      <c r="I31" s="9">
        <v>12864.000000000002</v>
      </c>
      <c r="J31" s="9">
        <v>380335.4728103368</v>
      </c>
      <c r="K31" s="16">
        <v>0.004867550565343048</v>
      </c>
      <c r="L31" s="25">
        <v>1</v>
      </c>
      <c r="M31" s="16">
        <v>0.004867550565343048</v>
      </c>
      <c r="N31" s="9">
        <v>1851.3021456979704</v>
      </c>
      <c r="O31" s="9">
        <v>1851.3021456979704</v>
      </c>
      <c r="P31" s="9">
        <v>0</v>
      </c>
      <c r="Q31" s="9">
        <v>369322.7749560348</v>
      </c>
      <c r="R31" s="9">
        <v>369322.7749560348</v>
      </c>
      <c r="S31" s="9">
        <v>0</v>
      </c>
      <c r="T31" s="4" t="s">
        <v>284</v>
      </c>
      <c r="U31" s="18" t="s">
        <v>285</v>
      </c>
      <c r="V31" s="4" t="s">
        <v>229</v>
      </c>
    </row>
    <row r="32" spans="1:22" x14ac:dyDescent="0.25">
      <c r="A32" s="19">
        <v>30</v>
      </c>
      <c r="B32" s="24">
        <v>46905</v>
      </c>
      <c r="C32" s="24">
        <v>46934</v>
      </c>
      <c r="D32" s="24">
        <v>46934</v>
      </c>
      <c r="E32" s="26" t="s">
        <v>222</v>
      </c>
      <c r="F32" s="21">
        <v>369322.7749560348</v>
      </c>
      <c r="G32" s="27" t="s">
        <v>1</v>
      </c>
      <c r="H32" s="26" t="s">
        <v>1</v>
      </c>
      <c r="I32" s="21">
        <v>12864.000000000002</v>
      </c>
      <c r="J32" s="21">
        <v>369322.7749560348</v>
      </c>
      <c r="K32" s="28">
        <v>0.004867550565343048</v>
      </c>
      <c r="L32" s="29">
        <v>1</v>
      </c>
      <c r="M32" s="28">
        <v>0.004867550565343048</v>
      </c>
      <c r="N32" s="21">
        <v>1797.6972820313106</v>
      </c>
      <c r="O32" s="21">
        <v>1797.6972820313106</v>
      </c>
      <c r="P32" s="21">
        <v>0</v>
      </c>
      <c r="Q32" s="21">
        <v>358256.4722380661</v>
      </c>
      <c r="R32" s="21">
        <v>358256.4722380661</v>
      </c>
      <c r="S32" s="21">
        <v>0</v>
      </c>
      <c r="T32" s="26" t="s">
        <v>286</v>
      </c>
      <c r="U32" s="27" t="s">
        <v>287</v>
      </c>
      <c r="V32" s="26" t="s">
        <v>229</v>
      </c>
    </row>
    <row r="33" spans="1:22" x14ac:dyDescent="0.25">
      <c r="A33" s="22">
        <v>31</v>
      </c>
      <c r="B33" s="23">
        <v>46935</v>
      </c>
      <c r="C33" s="23">
        <v>46965</v>
      </c>
      <c r="D33" s="23">
        <v>46965</v>
      </c>
      <c r="E33" s="4" t="s">
        <v>222</v>
      </c>
      <c r="F33" s="9">
        <v>358256.4722380661</v>
      </c>
      <c r="G33" s="18" t="s">
        <v>1</v>
      </c>
      <c r="H33" s="4" t="s">
        <v>1</v>
      </c>
      <c r="I33" s="9">
        <v>12864.000000000002</v>
      </c>
      <c r="J33" s="9">
        <v>358256.4722380661</v>
      </c>
      <c r="K33" s="16">
        <v>0.004867550565343048</v>
      </c>
      <c r="L33" s="25">
        <v>1</v>
      </c>
      <c r="M33" s="16">
        <v>0.004867550565343048</v>
      </c>
      <c r="N33" s="9">
        <v>1743.8314939802046</v>
      </c>
      <c r="O33" s="9">
        <v>1743.8314939802046</v>
      </c>
      <c r="P33" s="9">
        <v>0</v>
      </c>
      <c r="Q33" s="9">
        <v>347136.3037320463</v>
      </c>
      <c r="R33" s="9">
        <v>347136.3037320463</v>
      </c>
      <c r="S33" s="9">
        <v>0</v>
      </c>
      <c r="T33" s="4" t="s">
        <v>288</v>
      </c>
      <c r="U33" s="18" t="s">
        <v>289</v>
      </c>
      <c r="V33" s="4" t="s">
        <v>229</v>
      </c>
    </row>
    <row r="34" spans="1:22" x14ac:dyDescent="0.25">
      <c r="A34" s="19">
        <v>32</v>
      </c>
      <c r="B34" s="24">
        <v>46966</v>
      </c>
      <c r="C34" s="24">
        <v>46996</v>
      </c>
      <c r="D34" s="24">
        <v>46996</v>
      </c>
      <c r="E34" s="26" t="s">
        <v>222</v>
      </c>
      <c r="F34" s="21">
        <v>347136.3037320463</v>
      </c>
      <c r="G34" s="27" t="s">
        <v>1</v>
      </c>
      <c r="H34" s="26" t="s">
        <v>1</v>
      </c>
      <c r="I34" s="21">
        <v>12864.000000000002</v>
      </c>
      <c r="J34" s="21">
        <v>347136.3037320463</v>
      </c>
      <c r="K34" s="28">
        <v>0.004867550565343048</v>
      </c>
      <c r="L34" s="29">
        <v>1</v>
      </c>
      <c r="M34" s="28">
        <v>0.004867550565343048</v>
      </c>
      <c r="N34" s="21">
        <v>1689.703511482018</v>
      </c>
      <c r="O34" s="21">
        <v>1689.703511482018</v>
      </c>
      <c r="P34" s="21">
        <v>0</v>
      </c>
      <c r="Q34" s="21">
        <v>335962.0072435283</v>
      </c>
      <c r="R34" s="21">
        <v>335962.0072435283</v>
      </c>
      <c r="S34" s="21">
        <v>0</v>
      </c>
      <c r="T34" s="26" t="s">
        <v>290</v>
      </c>
      <c r="U34" s="27" t="s">
        <v>291</v>
      </c>
      <c r="V34" s="26" t="s">
        <v>229</v>
      </c>
    </row>
    <row r="35" spans="1:22" x14ac:dyDescent="0.25">
      <c r="A35" s="22">
        <v>33</v>
      </c>
      <c r="B35" s="23">
        <v>46997</v>
      </c>
      <c r="C35" s="23">
        <v>47026</v>
      </c>
      <c r="D35" s="23">
        <v>47026</v>
      </c>
      <c r="E35" s="4" t="s">
        <v>222</v>
      </c>
      <c r="F35" s="9">
        <v>335962.0072435283</v>
      </c>
      <c r="G35" s="18" t="s">
        <v>1</v>
      </c>
      <c r="H35" s="4" t="s">
        <v>1</v>
      </c>
      <c r="I35" s="9">
        <v>12864.000000000002</v>
      </c>
      <c r="J35" s="9">
        <v>335962.0072435283</v>
      </c>
      <c r="K35" s="16">
        <v>0.004867550565343048</v>
      </c>
      <c r="L35" s="25">
        <v>1</v>
      </c>
      <c r="M35" s="16">
        <v>0.004867550565343048</v>
      </c>
      <c r="N35" s="9">
        <v>1635.3120582920217</v>
      </c>
      <c r="O35" s="9">
        <v>1635.3120582920217</v>
      </c>
      <c r="P35" s="9">
        <v>0</v>
      </c>
      <c r="Q35" s="9">
        <v>324733.31930182036</v>
      </c>
      <c r="R35" s="9">
        <v>324733.31930182036</v>
      </c>
      <c r="S35" s="9">
        <v>0</v>
      </c>
      <c r="T35" s="4" t="s">
        <v>292</v>
      </c>
      <c r="U35" s="18" t="s">
        <v>293</v>
      </c>
      <c r="V35" s="4" t="s">
        <v>229</v>
      </c>
    </row>
    <row r="36" spans="1:22" x14ac:dyDescent="0.25">
      <c r="A36" s="19">
        <v>34</v>
      </c>
      <c r="B36" s="24">
        <v>47027</v>
      </c>
      <c r="C36" s="24">
        <v>47057</v>
      </c>
      <c r="D36" s="24">
        <v>47057</v>
      </c>
      <c r="E36" s="26" t="s">
        <v>222</v>
      </c>
      <c r="F36" s="21">
        <v>324733.31930182036</v>
      </c>
      <c r="G36" s="27" t="s">
        <v>1</v>
      </c>
      <c r="H36" s="26" t="s">
        <v>1</v>
      </c>
      <c r="I36" s="21">
        <v>12864.000000000002</v>
      </c>
      <c r="J36" s="21">
        <v>324733.31930182036</v>
      </c>
      <c r="K36" s="28">
        <v>0.004867550565343048</v>
      </c>
      <c r="L36" s="29">
        <v>1</v>
      </c>
      <c r="M36" s="28">
        <v>0.004867550565343048</v>
      </c>
      <c r="N36" s="21">
        <v>1580.6558519533003</v>
      </c>
      <c r="O36" s="21">
        <v>1580.6558519533003</v>
      </c>
      <c r="P36" s="21">
        <v>0</v>
      </c>
      <c r="Q36" s="21">
        <v>313449.9751537737</v>
      </c>
      <c r="R36" s="21">
        <v>313449.9751537737</v>
      </c>
      <c r="S36" s="21">
        <v>0</v>
      </c>
      <c r="T36" s="26" t="s">
        <v>294</v>
      </c>
      <c r="U36" s="27" t="s">
        <v>295</v>
      </c>
      <c r="V36" s="26" t="s">
        <v>229</v>
      </c>
    </row>
    <row r="37" spans="1:22" x14ac:dyDescent="0.25">
      <c r="A37" s="22">
        <v>35</v>
      </c>
      <c r="B37" s="23">
        <v>47058</v>
      </c>
      <c r="C37" s="23">
        <v>47087</v>
      </c>
      <c r="D37" s="23">
        <v>47087</v>
      </c>
      <c r="E37" s="4" t="s">
        <v>222</v>
      </c>
      <c r="F37" s="9">
        <v>313449.9751537737</v>
      </c>
      <c r="G37" s="18" t="s">
        <v>1</v>
      </c>
      <c r="H37" s="4" t="s">
        <v>1</v>
      </c>
      <c r="I37" s="9">
        <v>12864.000000000002</v>
      </c>
      <c r="J37" s="9">
        <v>313449.9751537737</v>
      </c>
      <c r="K37" s="16">
        <v>0.004867550565343048</v>
      </c>
      <c r="L37" s="25">
        <v>1</v>
      </c>
      <c r="M37" s="16">
        <v>0.004867550565343048</v>
      </c>
      <c r="N37" s="9">
        <v>1525.7336037665154</v>
      </c>
      <c r="O37" s="9">
        <v>1525.7336037665154</v>
      </c>
      <c r="P37" s="9">
        <v>0</v>
      </c>
      <c r="Q37" s="9">
        <v>302111.7087575402</v>
      </c>
      <c r="R37" s="9">
        <v>302111.7087575402</v>
      </c>
      <c r="S37" s="9">
        <v>0</v>
      </c>
      <c r="T37" s="4" t="s">
        <v>296</v>
      </c>
      <c r="U37" s="18" t="s">
        <v>297</v>
      </c>
      <c r="V37" s="4" t="s">
        <v>229</v>
      </c>
    </row>
    <row r="38" spans="1:22" x14ac:dyDescent="0.25">
      <c r="A38" s="19">
        <v>36</v>
      </c>
      <c r="B38" s="24">
        <v>47088</v>
      </c>
      <c r="C38" s="24">
        <v>47118</v>
      </c>
      <c r="D38" s="24">
        <v>47118</v>
      </c>
      <c r="E38" s="26" t="s">
        <v>222</v>
      </c>
      <c r="F38" s="21">
        <v>302111.7087575402</v>
      </c>
      <c r="G38" s="27" t="s">
        <v>1</v>
      </c>
      <c r="H38" s="26" t="s">
        <v>1</v>
      </c>
      <c r="I38" s="21">
        <v>12864.000000000002</v>
      </c>
      <c r="J38" s="21">
        <v>302111.7087575402</v>
      </c>
      <c r="K38" s="28">
        <v>0.004867550565343048</v>
      </c>
      <c r="L38" s="29">
        <v>1</v>
      </c>
      <c r="M38" s="28">
        <v>0.004867550565343048</v>
      </c>
      <c r="N38" s="21">
        <v>1470.5440187595193</v>
      </c>
      <c r="O38" s="21">
        <v>1470.5440187595193</v>
      </c>
      <c r="P38" s="21">
        <v>0</v>
      </c>
      <c r="Q38" s="21">
        <v>290718.2527762997</v>
      </c>
      <c r="R38" s="21">
        <v>290718.2527762997</v>
      </c>
      <c r="S38" s="21">
        <v>0</v>
      </c>
      <c r="T38" s="26" t="s">
        <v>298</v>
      </c>
      <c r="U38" s="27" t="s">
        <v>299</v>
      </c>
      <c r="V38" s="26" t="s">
        <v>229</v>
      </c>
    </row>
    <row r="39" spans="1:22" x14ac:dyDescent="0.25">
      <c r="A39" s="22">
        <v>37</v>
      </c>
      <c r="B39" s="23">
        <v>47119</v>
      </c>
      <c r="C39" s="23">
        <v>47149</v>
      </c>
      <c r="D39" s="23">
        <v>47149</v>
      </c>
      <c r="E39" s="4" t="s">
        <v>222</v>
      </c>
      <c r="F39" s="9">
        <v>299667.60197556997</v>
      </c>
      <c r="G39" s="9">
        <v>8949.35</v>
      </c>
      <c r="H39" s="4" t="s">
        <v>300</v>
      </c>
      <c r="I39" s="9">
        <v>13260</v>
      </c>
      <c r="J39" s="9">
        <v>299667.60197556997</v>
      </c>
      <c r="K39" s="16">
        <v>0.004867550565343048</v>
      </c>
      <c r="L39" s="25">
        <v>1</v>
      </c>
      <c r="M39" s="16">
        <v>0.004867550565343048</v>
      </c>
      <c r="N39" s="9">
        <v>1458.6472054111812</v>
      </c>
      <c r="O39" s="9">
        <v>1458.6472054111812</v>
      </c>
      <c r="P39" s="9">
        <v>0</v>
      </c>
      <c r="Q39" s="9">
        <v>287866.24918098113</v>
      </c>
      <c r="R39" s="9">
        <v>287866.24918098113</v>
      </c>
      <c r="S39" s="9">
        <v>0</v>
      </c>
      <c r="T39" s="4" t="s">
        <v>301</v>
      </c>
      <c r="U39" s="18" t="s">
        <v>302</v>
      </c>
      <c r="V39" s="4" t="s">
        <v>303</v>
      </c>
    </row>
    <row r="40" spans="1:22" x14ac:dyDescent="0.25">
      <c r="A40" s="19">
        <v>38</v>
      </c>
      <c r="B40" s="24">
        <v>47150</v>
      </c>
      <c r="C40" s="24">
        <v>47177</v>
      </c>
      <c r="D40" s="24">
        <v>47177</v>
      </c>
      <c r="E40" s="26" t="s">
        <v>222</v>
      </c>
      <c r="F40" s="21">
        <v>287866.24918098113</v>
      </c>
      <c r="G40" s="27" t="s">
        <v>1</v>
      </c>
      <c r="H40" s="26" t="s">
        <v>1</v>
      </c>
      <c r="I40" s="21">
        <v>13260</v>
      </c>
      <c r="J40" s="21">
        <v>287866.24918098113</v>
      </c>
      <c r="K40" s="28">
        <v>0.004867550565343048</v>
      </c>
      <c r="L40" s="29">
        <v>1</v>
      </c>
      <c r="M40" s="28">
        <v>0.004867550565343048</v>
      </c>
      <c r="N40" s="21">
        <v>1401.2035239440675</v>
      </c>
      <c r="O40" s="21">
        <v>1401.2035239440675</v>
      </c>
      <c r="P40" s="21">
        <v>0</v>
      </c>
      <c r="Q40" s="21">
        <v>276007.4527049252</v>
      </c>
      <c r="R40" s="21">
        <v>276007.4527049252</v>
      </c>
      <c r="S40" s="21">
        <v>0</v>
      </c>
      <c r="T40" s="26" t="s">
        <v>304</v>
      </c>
      <c r="U40" s="27" t="s">
        <v>305</v>
      </c>
      <c r="V40" s="26" t="s">
        <v>229</v>
      </c>
    </row>
    <row r="41" spans="1:22" x14ac:dyDescent="0.25">
      <c r="A41" s="22">
        <v>39</v>
      </c>
      <c r="B41" s="23">
        <v>47178</v>
      </c>
      <c r="C41" s="23">
        <v>47208</v>
      </c>
      <c r="D41" s="23">
        <v>47208</v>
      </c>
      <c r="E41" s="4" t="s">
        <v>222</v>
      </c>
      <c r="F41" s="9">
        <v>276007.4527049252</v>
      </c>
      <c r="G41" s="18" t="s">
        <v>1</v>
      </c>
      <c r="H41" s="4" t="s">
        <v>1</v>
      </c>
      <c r="I41" s="9">
        <v>13260</v>
      </c>
      <c r="J41" s="9">
        <v>276007.4527049252</v>
      </c>
      <c r="K41" s="16">
        <v>0.004867550565343048</v>
      </c>
      <c r="L41" s="25">
        <v>1</v>
      </c>
      <c r="M41" s="16">
        <v>0.004867550565343048</v>
      </c>
      <c r="N41" s="9">
        <v>1343.4802324527534</v>
      </c>
      <c r="O41" s="9">
        <v>1343.4802324527534</v>
      </c>
      <c r="P41" s="9">
        <v>0</v>
      </c>
      <c r="Q41" s="9">
        <v>264090.93293737795</v>
      </c>
      <c r="R41" s="9">
        <v>264090.93293737795</v>
      </c>
      <c r="S41" s="9">
        <v>0</v>
      </c>
      <c r="T41" s="4" t="s">
        <v>306</v>
      </c>
      <c r="U41" s="18" t="s">
        <v>307</v>
      </c>
      <c r="V41" s="4" t="s">
        <v>229</v>
      </c>
    </row>
    <row r="42" spans="1:22" x14ac:dyDescent="0.25">
      <c r="A42" s="19">
        <v>40</v>
      </c>
      <c r="B42" s="24">
        <v>47209</v>
      </c>
      <c r="C42" s="24">
        <v>47238</v>
      </c>
      <c r="D42" s="24">
        <v>47238</v>
      </c>
      <c r="E42" s="26" t="s">
        <v>222</v>
      </c>
      <c r="F42" s="21">
        <v>264090.93293737795</v>
      </c>
      <c r="G42" s="27" t="s">
        <v>1</v>
      </c>
      <c r="H42" s="26" t="s">
        <v>1</v>
      </c>
      <c r="I42" s="21">
        <v>13260</v>
      </c>
      <c r="J42" s="21">
        <v>264090.93293737795</v>
      </c>
      <c r="K42" s="28">
        <v>0.004867550565343048</v>
      </c>
      <c r="L42" s="29">
        <v>1</v>
      </c>
      <c r="M42" s="28">
        <v>0.004867550565343048</v>
      </c>
      <c r="N42" s="21">
        <v>1285.475969921307</v>
      </c>
      <c r="O42" s="21">
        <v>1285.475969921307</v>
      </c>
      <c r="P42" s="21">
        <v>0</v>
      </c>
      <c r="Q42" s="21">
        <v>252116.40890729928</v>
      </c>
      <c r="R42" s="21">
        <v>252116.40890729928</v>
      </c>
      <c r="S42" s="21">
        <v>0</v>
      </c>
      <c r="T42" s="26" t="s">
        <v>308</v>
      </c>
      <c r="U42" s="27" t="s">
        <v>309</v>
      </c>
      <c r="V42" s="26" t="s">
        <v>229</v>
      </c>
    </row>
    <row r="43" spans="1:22" x14ac:dyDescent="0.25">
      <c r="A43" s="22">
        <v>41</v>
      </c>
      <c r="B43" s="23">
        <v>47239</v>
      </c>
      <c r="C43" s="23">
        <v>47269</v>
      </c>
      <c r="D43" s="23">
        <v>47269</v>
      </c>
      <c r="E43" s="4" t="s">
        <v>222</v>
      </c>
      <c r="F43" s="9">
        <v>252116.40890729928</v>
      </c>
      <c r="G43" s="18" t="s">
        <v>1</v>
      </c>
      <c r="H43" s="4" t="s">
        <v>1</v>
      </c>
      <c r="I43" s="9">
        <v>13260</v>
      </c>
      <c r="J43" s="9">
        <v>252116.40890729928</v>
      </c>
      <c r="K43" s="16">
        <v>0.004867550565343048</v>
      </c>
      <c r="L43" s="25">
        <v>1</v>
      </c>
      <c r="M43" s="16">
        <v>0.004867550565343048</v>
      </c>
      <c r="N43" s="9">
        <v>1227.1893687089837</v>
      </c>
      <c r="O43" s="9">
        <v>1227.1893687089837</v>
      </c>
      <c r="P43" s="9">
        <v>0</v>
      </c>
      <c r="Q43" s="9">
        <v>240083.59827600827</v>
      </c>
      <c r="R43" s="9">
        <v>240083.59827600827</v>
      </c>
      <c r="S43" s="9">
        <v>0</v>
      </c>
      <c r="T43" s="4" t="s">
        <v>310</v>
      </c>
      <c r="U43" s="18" t="s">
        <v>311</v>
      </c>
      <c r="V43" s="4" t="s">
        <v>229</v>
      </c>
    </row>
    <row r="44" spans="1:22" x14ac:dyDescent="0.25">
      <c r="A44" s="19">
        <v>42</v>
      </c>
      <c r="B44" s="24">
        <v>47270</v>
      </c>
      <c r="C44" s="24">
        <v>47299</v>
      </c>
      <c r="D44" s="24">
        <v>47299</v>
      </c>
      <c r="E44" s="26" t="s">
        <v>222</v>
      </c>
      <c r="F44" s="21">
        <v>240083.59827600827</v>
      </c>
      <c r="G44" s="27" t="s">
        <v>1</v>
      </c>
      <c r="H44" s="26" t="s">
        <v>1</v>
      </c>
      <c r="I44" s="21">
        <v>13260</v>
      </c>
      <c r="J44" s="21">
        <v>240083.59827600827</v>
      </c>
      <c r="K44" s="28">
        <v>0.004867550565343048</v>
      </c>
      <c r="L44" s="29">
        <v>1</v>
      </c>
      <c r="M44" s="28">
        <v>0.004867550565343048</v>
      </c>
      <c r="N44" s="21">
        <v>1168.6190545179775</v>
      </c>
      <c r="O44" s="21">
        <v>1168.6190545179775</v>
      </c>
      <c r="P44" s="21">
        <v>0</v>
      </c>
      <c r="Q44" s="21">
        <v>227992.21733052624</v>
      </c>
      <c r="R44" s="21">
        <v>227992.21733052624</v>
      </c>
      <c r="S44" s="21">
        <v>0</v>
      </c>
      <c r="T44" s="26" t="s">
        <v>312</v>
      </c>
      <c r="U44" s="27" t="s">
        <v>313</v>
      </c>
      <c r="V44" s="26" t="s">
        <v>229</v>
      </c>
    </row>
    <row r="45" spans="1:22" x14ac:dyDescent="0.25">
      <c r="A45" s="22">
        <v>43</v>
      </c>
      <c r="B45" s="23">
        <v>47300</v>
      </c>
      <c r="C45" s="23">
        <v>47330</v>
      </c>
      <c r="D45" s="23">
        <v>47330</v>
      </c>
      <c r="E45" s="4" t="s">
        <v>222</v>
      </c>
      <c r="F45" s="9">
        <v>227992.21733052624</v>
      </c>
      <c r="G45" s="18" t="s">
        <v>1</v>
      </c>
      <c r="H45" s="4" t="s">
        <v>1</v>
      </c>
      <c r="I45" s="9">
        <v>13260</v>
      </c>
      <c r="J45" s="9">
        <v>227992.21733052624</v>
      </c>
      <c r="K45" s="16">
        <v>0.004867550565343048</v>
      </c>
      <c r="L45" s="25">
        <v>1</v>
      </c>
      <c r="M45" s="16">
        <v>0.004867550565343048</v>
      </c>
      <c r="N45" s="9">
        <v>1109.7636463610181</v>
      </c>
      <c r="O45" s="9">
        <v>1109.7636463610181</v>
      </c>
      <c r="P45" s="9">
        <v>0</v>
      </c>
      <c r="Q45" s="9">
        <v>215841.98097688725</v>
      </c>
      <c r="R45" s="9">
        <v>215841.98097688725</v>
      </c>
      <c r="S45" s="9">
        <v>0</v>
      </c>
      <c r="T45" s="4" t="s">
        <v>314</v>
      </c>
      <c r="U45" s="18" t="s">
        <v>315</v>
      </c>
      <c r="V45" s="4" t="s">
        <v>229</v>
      </c>
    </row>
    <row r="46" spans="1:22" x14ac:dyDescent="0.25">
      <c r="A46" s="19">
        <v>44</v>
      </c>
      <c r="B46" s="24">
        <v>47331</v>
      </c>
      <c r="C46" s="24">
        <v>47361</v>
      </c>
      <c r="D46" s="24">
        <v>47361</v>
      </c>
      <c r="E46" s="26" t="s">
        <v>222</v>
      </c>
      <c r="F46" s="21">
        <v>215841.98097688725</v>
      </c>
      <c r="G46" s="27" t="s">
        <v>1</v>
      </c>
      <c r="H46" s="26" t="s">
        <v>1</v>
      </c>
      <c r="I46" s="21">
        <v>13260</v>
      </c>
      <c r="J46" s="21">
        <v>215841.98097688725</v>
      </c>
      <c r="K46" s="28">
        <v>0.004867550565343048</v>
      </c>
      <c r="L46" s="29">
        <v>1</v>
      </c>
      <c r="M46" s="28">
        <v>0.004867550565343048</v>
      </c>
      <c r="N46" s="21">
        <v>1050.6217565288111</v>
      </c>
      <c r="O46" s="21">
        <v>1050.6217565288111</v>
      </c>
      <c r="P46" s="21">
        <v>0</v>
      </c>
      <c r="Q46" s="21">
        <v>203632.60273341608</v>
      </c>
      <c r="R46" s="21">
        <v>203632.60273341608</v>
      </c>
      <c r="S46" s="21">
        <v>0</v>
      </c>
      <c r="T46" s="26" t="s">
        <v>316</v>
      </c>
      <c r="U46" s="27" t="s">
        <v>317</v>
      </c>
      <c r="V46" s="26" t="s">
        <v>229</v>
      </c>
    </row>
    <row r="47" spans="1:22" x14ac:dyDescent="0.25">
      <c r="A47" s="22">
        <v>45</v>
      </c>
      <c r="B47" s="23">
        <v>47362</v>
      </c>
      <c r="C47" s="23">
        <v>47391</v>
      </c>
      <c r="D47" s="23">
        <v>47391</v>
      </c>
      <c r="E47" s="4" t="s">
        <v>222</v>
      </c>
      <c r="F47" s="9">
        <v>203632.60273341608</v>
      </c>
      <c r="G47" s="18" t="s">
        <v>1</v>
      </c>
      <c r="H47" s="4" t="s">
        <v>1</v>
      </c>
      <c r="I47" s="9">
        <v>13260</v>
      </c>
      <c r="J47" s="9">
        <v>203632.60273341608</v>
      </c>
      <c r="K47" s="16">
        <v>0.004867550565343048</v>
      </c>
      <c r="L47" s="25">
        <v>1</v>
      </c>
      <c r="M47" s="16">
        <v>0.004867550565343048</v>
      </c>
      <c r="N47" s="9">
        <v>991.1919905573158</v>
      </c>
      <c r="O47" s="9">
        <v>991.1919905573158</v>
      </c>
      <c r="P47" s="9">
        <v>0</v>
      </c>
      <c r="Q47" s="9">
        <v>191363.79472397338</v>
      </c>
      <c r="R47" s="9">
        <v>191363.79472397338</v>
      </c>
      <c r="S47" s="9">
        <v>0</v>
      </c>
      <c r="T47" s="4" t="s">
        <v>318</v>
      </c>
      <c r="U47" s="18" t="s">
        <v>319</v>
      </c>
      <c r="V47" s="4" t="s">
        <v>229</v>
      </c>
    </row>
    <row r="48" spans="1:22" x14ac:dyDescent="0.25">
      <c r="A48" s="19">
        <v>46</v>
      </c>
      <c r="B48" s="24">
        <v>47392</v>
      </c>
      <c r="C48" s="24">
        <v>47422</v>
      </c>
      <c r="D48" s="24">
        <v>47422</v>
      </c>
      <c r="E48" s="26" t="s">
        <v>222</v>
      </c>
      <c r="F48" s="21">
        <v>191363.79472397338</v>
      </c>
      <c r="G48" s="27" t="s">
        <v>1</v>
      </c>
      <c r="H48" s="26" t="s">
        <v>1</v>
      </c>
      <c r="I48" s="21">
        <v>13260</v>
      </c>
      <c r="J48" s="21">
        <v>191363.79472397338</v>
      </c>
      <c r="K48" s="28">
        <v>0.004867550565343048</v>
      </c>
      <c r="L48" s="29">
        <v>1</v>
      </c>
      <c r="M48" s="28">
        <v>0.004867550565343048</v>
      </c>
      <c r="N48" s="21">
        <v>931.4729471948676</v>
      </c>
      <c r="O48" s="21">
        <v>931.4729471948676</v>
      </c>
      <c r="P48" s="21">
        <v>0</v>
      </c>
      <c r="Q48" s="21">
        <v>179035.26767116826</v>
      </c>
      <c r="R48" s="21">
        <v>179035.26767116826</v>
      </c>
      <c r="S48" s="21">
        <v>0</v>
      </c>
      <c r="T48" s="26" t="s">
        <v>320</v>
      </c>
      <c r="U48" s="27" t="s">
        <v>321</v>
      </c>
      <c r="V48" s="26" t="s">
        <v>229</v>
      </c>
    </row>
    <row r="49" spans="1:22" x14ac:dyDescent="0.25">
      <c r="A49" s="22">
        <v>47</v>
      </c>
      <c r="B49" s="23">
        <v>47423</v>
      </c>
      <c r="C49" s="23">
        <v>47452</v>
      </c>
      <c r="D49" s="23">
        <v>47452</v>
      </c>
      <c r="E49" s="4" t="s">
        <v>222</v>
      </c>
      <c r="F49" s="9">
        <v>179035.26767116826</v>
      </c>
      <c r="G49" s="18" t="s">
        <v>1</v>
      </c>
      <c r="H49" s="4" t="s">
        <v>1</v>
      </c>
      <c r="I49" s="9">
        <v>13260</v>
      </c>
      <c r="J49" s="9">
        <v>179035.26767116826</v>
      </c>
      <c r="K49" s="16">
        <v>0.004867550565343048</v>
      </c>
      <c r="L49" s="25">
        <v>1</v>
      </c>
      <c r="M49" s="16">
        <v>0.004867550565343048</v>
      </c>
      <c r="N49" s="9">
        <v>871.4632183691391</v>
      </c>
      <c r="O49" s="9">
        <v>871.4632183691391</v>
      </c>
      <c r="P49" s="9">
        <v>0</v>
      </c>
      <c r="Q49" s="9">
        <v>166646.7308895374</v>
      </c>
      <c r="R49" s="9">
        <v>166646.7308895374</v>
      </c>
      <c r="S49" s="9">
        <v>0</v>
      </c>
      <c r="T49" s="4" t="s">
        <v>322</v>
      </c>
      <c r="U49" s="18" t="s">
        <v>323</v>
      </c>
      <c r="V49" s="4" t="s">
        <v>229</v>
      </c>
    </row>
    <row r="50" spans="1:22" x14ac:dyDescent="0.25">
      <c r="A50" s="19">
        <v>48</v>
      </c>
      <c r="B50" s="24">
        <v>47453</v>
      </c>
      <c r="C50" s="24">
        <v>47483</v>
      </c>
      <c r="D50" s="24">
        <v>47483</v>
      </c>
      <c r="E50" s="26" t="s">
        <v>222</v>
      </c>
      <c r="F50" s="21">
        <v>166646.7308895374</v>
      </c>
      <c r="G50" s="27" t="s">
        <v>1</v>
      </c>
      <c r="H50" s="26" t="s">
        <v>1</v>
      </c>
      <c r="I50" s="21">
        <v>13260</v>
      </c>
      <c r="J50" s="21">
        <v>166646.7308895374</v>
      </c>
      <c r="K50" s="28">
        <v>0.004867550565343048</v>
      </c>
      <c r="L50" s="29">
        <v>1</v>
      </c>
      <c r="M50" s="28">
        <v>0.004867550565343048</v>
      </c>
      <c r="N50" s="21">
        <v>811.1613891539387</v>
      </c>
      <c r="O50" s="21">
        <v>811.1613891539387</v>
      </c>
      <c r="P50" s="21">
        <v>0</v>
      </c>
      <c r="Q50" s="21">
        <v>154197.89227869135</v>
      </c>
      <c r="R50" s="21">
        <v>154197.89227869135</v>
      </c>
      <c r="S50" s="21">
        <v>0</v>
      </c>
      <c r="T50" s="26" t="s">
        <v>324</v>
      </c>
      <c r="U50" s="27" t="s">
        <v>325</v>
      </c>
      <c r="V50" s="26" t="s">
        <v>229</v>
      </c>
    </row>
    <row r="51" spans="1:22" x14ac:dyDescent="0.25">
      <c r="A51" s="22">
        <v>49</v>
      </c>
      <c r="B51" s="23">
        <v>47484</v>
      </c>
      <c r="C51" s="23">
        <v>47514</v>
      </c>
      <c r="D51" s="23">
        <v>47514</v>
      </c>
      <c r="E51" s="4" t="s">
        <v>222</v>
      </c>
      <c r="F51" s="9">
        <v>154197.89227869135</v>
      </c>
      <c r="G51" s="18" t="s">
        <v>1</v>
      </c>
      <c r="H51" s="4" t="s">
        <v>1</v>
      </c>
      <c r="I51" s="9">
        <v>13260</v>
      </c>
      <c r="J51" s="9">
        <v>154197.89227869135</v>
      </c>
      <c r="K51" s="16">
        <v>0.004867550565343048</v>
      </c>
      <c r="L51" s="25">
        <v>1</v>
      </c>
      <c r="M51" s="16">
        <v>0.004867550565343048</v>
      </c>
      <c r="N51" s="9">
        <v>750.5660377358505</v>
      </c>
      <c r="O51" s="9">
        <v>750.5660377358505</v>
      </c>
      <c r="P51" s="9">
        <v>0</v>
      </c>
      <c r="Q51" s="9">
        <v>141688.4583164272</v>
      </c>
      <c r="R51" s="9">
        <v>141688.4583164272</v>
      </c>
      <c r="S51" s="9">
        <v>0</v>
      </c>
      <c r="T51" s="4" t="s">
        <v>326</v>
      </c>
      <c r="U51" s="18" t="s">
        <v>327</v>
      </c>
      <c r="V51" s="4" t="s">
        <v>229</v>
      </c>
    </row>
    <row r="52" spans="1:22" x14ac:dyDescent="0.25">
      <c r="A52" s="19">
        <v>50</v>
      </c>
      <c r="B52" s="24">
        <v>47515</v>
      </c>
      <c r="C52" s="24">
        <v>47542</v>
      </c>
      <c r="D52" s="24">
        <v>47542</v>
      </c>
      <c r="E52" s="26" t="s">
        <v>222</v>
      </c>
      <c r="F52" s="21">
        <v>141688.4583164272</v>
      </c>
      <c r="G52" s="27" t="s">
        <v>1</v>
      </c>
      <c r="H52" s="26" t="s">
        <v>1</v>
      </c>
      <c r="I52" s="21">
        <v>13260</v>
      </c>
      <c r="J52" s="21">
        <v>141688.4583164272</v>
      </c>
      <c r="K52" s="28">
        <v>0.004867550565343048</v>
      </c>
      <c r="L52" s="29">
        <v>1</v>
      </c>
      <c r="M52" s="28">
        <v>0.004867550565343048</v>
      </c>
      <c r="N52" s="21">
        <v>689.6757353807101</v>
      </c>
      <c r="O52" s="21">
        <v>689.6757353807101</v>
      </c>
      <c r="P52" s="21">
        <v>0</v>
      </c>
      <c r="Q52" s="21">
        <v>129118.1340518079</v>
      </c>
      <c r="R52" s="21">
        <v>129118.1340518079</v>
      </c>
      <c r="S52" s="21">
        <v>0</v>
      </c>
      <c r="T52" s="26" t="s">
        <v>328</v>
      </c>
      <c r="U52" s="27" t="s">
        <v>329</v>
      </c>
      <c r="V52" s="26" t="s">
        <v>229</v>
      </c>
    </row>
    <row r="53" spans="1:22" x14ac:dyDescent="0.25">
      <c r="A53" s="22">
        <v>51</v>
      </c>
      <c r="B53" s="23">
        <v>47543</v>
      </c>
      <c r="C53" s="23">
        <v>47573</v>
      </c>
      <c r="D53" s="23">
        <v>47573</v>
      </c>
      <c r="E53" s="4" t="s">
        <v>222</v>
      </c>
      <c r="F53" s="9">
        <v>129118.1340518079</v>
      </c>
      <c r="G53" s="18" t="s">
        <v>1</v>
      </c>
      <c r="H53" s="4" t="s">
        <v>1</v>
      </c>
      <c r="I53" s="9">
        <v>13260</v>
      </c>
      <c r="J53" s="9">
        <v>129118.1340518079</v>
      </c>
      <c r="K53" s="16">
        <v>0.004867550565343048</v>
      </c>
      <c r="L53" s="25">
        <v>1</v>
      </c>
      <c r="M53" s="16">
        <v>0.004867550565343048</v>
      </c>
      <c r="N53" s="9">
        <v>628.489046399917</v>
      </c>
      <c r="O53" s="9">
        <v>628.489046399917</v>
      </c>
      <c r="P53" s="9">
        <v>0</v>
      </c>
      <c r="Q53" s="9">
        <v>116486.62309820781</v>
      </c>
      <c r="R53" s="9">
        <v>116486.62309820781</v>
      </c>
      <c r="S53" s="9">
        <v>0</v>
      </c>
      <c r="T53" s="4" t="s">
        <v>330</v>
      </c>
      <c r="U53" s="18" t="s">
        <v>331</v>
      </c>
      <c r="V53" s="4" t="s">
        <v>229</v>
      </c>
    </row>
    <row r="54" spans="1:22" x14ac:dyDescent="0.25">
      <c r="A54" s="19">
        <v>52</v>
      </c>
      <c r="B54" s="24">
        <v>47574</v>
      </c>
      <c r="C54" s="24">
        <v>47603</v>
      </c>
      <c r="D54" s="24">
        <v>47603</v>
      </c>
      <c r="E54" s="26" t="s">
        <v>222</v>
      </c>
      <c r="F54" s="21">
        <v>116486.62309820781</v>
      </c>
      <c r="G54" s="27" t="s">
        <v>1</v>
      </c>
      <c r="H54" s="26" t="s">
        <v>1</v>
      </c>
      <c r="I54" s="21">
        <v>13260</v>
      </c>
      <c r="J54" s="21">
        <v>116486.62309820781</v>
      </c>
      <c r="K54" s="28">
        <v>0.004867550565343048</v>
      </c>
      <c r="L54" s="29">
        <v>1</v>
      </c>
      <c r="M54" s="28">
        <v>0.004867550565343048</v>
      </c>
      <c r="N54" s="21">
        <v>567.0045281165841</v>
      </c>
      <c r="O54" s="21">
        <v>567.0045281165841</v>
      </c>
      <c r="P54" s="21">
        <v>0</v>
      </c>
      <c r="Q54" s="21">
        <v>103793.62762632439</v>
      </c>
      <c r="R54" s="21">
        <v>103793.62762632439</v>
      </c>
      <c r="S54" s="21">
        <v>0</v>
      </c>
      <c r="T54" s="26" t="s">
        <v>332</v>
      </c>
      <c r="U54" s="27" t="s">
        <v>333</v>
      </c>
      <c r="V54" s="26" t="s">
        <v>229</v>
      </c>
    </row>
    <row r="55" spans="1:22" x14ac:dyDescent="0.25">
      <c r="A55" s="22">
        <v>53</v>
      </c>
      <c r="B55" s="23">
        <v>47604</v>
      </c>
      <c r="C55" s="23">
        <v>47634</v>
      </c>
      <c r="D55" s="23">
        <v>47634</v>
      </c>
      <c r="E55" s="4" t="s">
        <v>222</v>
      </c>
      <c r="F55" s="9">
        <v>103793.62762632439</v>
      </c>
      <c r="G55" s="18" t="s">
        <v>1</v>
      </c>
      <c r="H55" s="4" t="s">
        <v>1</v>
      </c>
      <c r="I55" s="9">
        <v>13260</v>
      </c>
      <c r="J55" s="9">
        <v>103793.62762632439</v>
      </c>
      <c r="K55" s="16">
        <v>0.004867550565343048</v>
      </c>
      <c r="L55" s="25">
        <v>1</v>
      </c>
      <c r="M55" s="16">
        <v>0.004867550565343048</v>
      </c>
      <c r="N55" s="9">
        <v>505.22073083152117</v>
      </c>
      <c r="O55" s="9">
        <v>505.22073083152117</v>
      </c>
      <c r="P55" s="9">
        <v>0</v>
      </c>
      <c r="Q55" s="9">
        <v>91038.84835715592</v>
      </c>
      <c r="R55" s="9">
        <v>91038.84835715592</v>
      </c>
      <c r="S55" s="9">
        <v>0</v>
      </c>
      <c r="T55" s="4" t="s">
        <v>334</v>
      </c>
      <c r="U55" s="18" t="s">
        <v>335</v>
      </c>
      <c r="V55" s="4" t="s">
        <v>229</v>
      </c>
    </row>
    <row r="56" spans="1:22" x14ac:dyDescent="0.25">
      <c r="A56" s="19">
        <v>54</v>
      </c>
      <c r="B56" s="24">
        <v>47635</v>
      </c>
      <c r="C56" s="24">
        <v>47664</v>
      </c>
      <c r="D56" s="24">
        <v>47664</v>
      </c>
      <c r="E56" s="26" t="s">
        <v>222</v>
      </c>
      <c r="F56" s="21">
        <v>91038.84835715592</v>
      </c>
      <c r="G56" s="27" t="s">
        <v>1</v>
      </c>
      <c r="H56" s="26" t="s">
        <v>1</v>
      </c>
      <c r="I56" s="21">
        <v>13260</v>
      </c>
      <c r="J56" s="21">
        <v>91038.84835715592</v>
      </c>
      <c r="K56" s="28">
        <v>0.004867550565343048</v>
      </c>
      <c r="L56" s="29">
        <v>1</v>
      </c>
      <c r="M56" s="28">
        <v>0.004867550565343048</v>
      </c>
      <c r="N56" s="21">
        <v>443.13619778905434</v>
      </c>
      <c r="O56" s="21">
        <v>443.13619778905434</v>
      </c>
      <c r="P56" s="21">
        <v>0</v>
      </c>
      <c r="Q56" s="21">
        <v>78221.98455494497</v>
      </c>
      <c r="R56" s="21">
        <v>78221.98455494497</v>
      </c>
      <c r="S56" s="21">
        <v>0</v>
      </c>
      <c r="T56" s="26" t="s">
        <v>336</v>
      </c>
      <c r="U56" s="27" t="s">
        <v>337</v>
      </c>
      <c r="V56" s="26" t="s">
        <v>229</v>
      </c>
    </row>
    <row r="57" spans="1:22" x14ac:dyDescent="0.25">
      <c r="A57" s="22">
        <v>55</v>
      </c>
      <c r="B57" s="23">
        <v>47665</v>
      </c>
      <c r="C57" s="23">
        <v>47695</v>
      </c>
      <c r="D57" s="23">
        <v>47695</v>
      </c>
      <c r="E57" s="4" t="s">
        <v>222</v>
      </c>
      <c r="F57" s="9">
        <v>78221.98455494497</v>
      </c>
      <c r="G57" s="18" t="s">
        <v>1</v>
      </c>
      <c r="H57" s="4" t="s">
        <v>1</v>
      </c>
      <c r="I57" s="9">
        <v>13260</v>
      </c>
      <c r="J57" s="9">
        <v>78221.98455494497</v>
      </c>
      <c r="K57" s="16">
        <v>0.004867550565343048</v>
      </c>
      <c r="L57" s="25">
        <v>1</v>
      </c>
      <c r="M57" s="16">
        <v>0.004867550565343048</v>
      </c>
      <c r="N57" s="9">
        <v>380.7494651426776</v>
      </c>
      <c r="O57" s="9">
        <v>380.7494651426776</v>
      </c>
      <c r="P57" s="9">
        <v>0</v>
      </c>
      <c r="Q57" s="9">
        <v>65342.73402008765</v>
      </c>
      <c r="R57" s="9">
        <v>65342.73402008765</v>
      </c>
      <c r="S57" s="9">
        <v>0</v>
      </c>
      <c r="T57" s="4" t="s">
        <v>338</v>
      </c>
      <c r="U57" s="18" t="s">
        <v>339</v>
      </c>
      <c r="V57" s="4" t="s">
        <v>229</v>
      </c>
    </row>
    <row r="58" spans="1:22" x14ac:dyDescent="0.25">
      <c r="A58" s="19">
        <v>56</v>
      </c>
      <c r="B58" s="24">
        <v>47696</v>
      </c>
      <c r="C58" s="24">
        <v>47726</v>
      </c>
      <c r="D58" s="24">
        <v>47726</v>
      </c>
      <c r="E58" s="26" t="s">
        <v>222</v>
      </c>
      <c r="F58" s="21">
        <v>65342.73402008765</v>
      </c>
      <c r="G58" s="27" t="s">
        <v>1</v>
      </c>
      <c r="H58" s="26" t="s">
        <v>1</v>
      </c>
      <c r="I58" s="21">
        <v>13260</v>
      </c>
      <c r="J58" s="21">
        <v>65342.73402008765</v>
      </c>
      <c r="K58" s="28">
        <v>0.004867550565343048</v>
      </c>
      <c r="L58" s="29">
        <v>1</v>
      </c>
      <c r="M58" s="28">
        <v>0.004867550565343048</v>
      </c>
      <c r="N58" s="21">
        <v>318.05906192053806</v>
      </c>
      <c r="O58" s="21">
        <v>318.05906192053806</v>
      </c>
      <c r="P58" s="21">
        <v>0</v>
      </c>
      <c r="Q58" s="21">
        <v>52400.79308200818</v>
      </c>
      <c r="R58" s="21">
        <v>52400.79308200818</v>
      </c>
      <c r="S58" s="21">
        <v>0</v>
      </c>
      <c r="T58" s="26" t="s">
        <v>340</v>
      </c>
      <c r="U58" s="27" t="s">
        <v>341</v>
      </c>
      <c r="V58" s="26" t="s">
        <v>229</v>
      </c>
    </row>
    <row r="59" spans="1:22" x14ac:dyDescent="0.25">
      <c r="A59" s="22">
        <v>57</v>
      </c>
      <c r="B59" s="23">
        <v>47727</v>
      </c>
      <c r="C59" s="23">
        <v>47756</v>
      </c>
      <c r="D59" s="23">
        <v>47756</v>
      </c>
      <c r="E59" s="4" t="s">
        <v>222</v>
      </c>
      <c r="F59" s="9">
        <v>52400.79308200818</v>
      </c>
      <c r="G59" s="18" t="s">
        <v>1</v>
      </c>
      <c r="H59" s="4" t="s">
        <v>1</v>
      </c>
      <c r="I59" s="9">
        <v>13260</v>
      </c>
      <c r="J59" s="9">
        <v>52400.79308200818</v>
      </c>
      <c r="K59" s="16">
        <v>0.004867550565343048</v>
      </c>
      <c r="L59" s="25">
        <v>1</v>
      </c>
      <c r="M59" s="16">
        <v>0.004867550565343048</v>
      </c>
      <c r="N59" s="9">
        <v>255.06350999075303</v>
      </c>
      <c r="O59" s="9">
        <v>255.06350999075303</v>
      </c>
      <c r="P59" s="9">
        <v>0</v>
      </c>
      <c r="Q59" s="9">
        <v>39395.856591998934</v>
      </c>
      <c r="R59" s="9">
        <v>39395.856591998934</v>
      </c>
      <c r="S59" s="9">
        <v>0</v>
      </c>
      <c r="T59" s="4" t="s">
        <v>342</v>
      </c>
      <c r="U59" s="18" t="s">
        <v>343</v>
      </c>
      <c r="V59" s="4" t="s">
        <v>229</v>
      </c>
    </row>
    <row r="60" spans="1:22" x14ac:dyDescent="0.25">
      <c r="A60" s="19">
        <v>58</v>
      </c>
      <c r="B60" s="24">
        <v>47757</v>
      </c>
      <c r="C60" s="24">
        <v>47787</v>
      </c>
      <c r="D60" s="24">
        <v>47787</v>
      </c>
      <c r="E60" s="26" t="s">
        <v>222</v>
      </c>
      <c r="F60" s="21">
        <v>39395.856591998934</v>
      </c>
      <c r="G60" s="27" t="s">
        <v>1</v>
      </c>
      <c r="H60" s="26" t="s">
        <v>1</v>
      </c>
      <c r="I60" s="21">
        <v>13260</v>
      </c>
      <c r="J60" s="21">
        <v>39395.856591998934</v>
      </c>
      <c r="K60" s="28">
        <v>0.004867550565343048</v>
      </c>
      <c r="L60" s="29">
        <v>1</v>
      </c>
      <c r="M60" s="28">
        <v>0.004867550565343048</v>
      </c>
      <c r="N60" s="21">
        <v>191.76132402655807</v>
      </c>
      <c r="O60" s="21">
        <v>191.76132402655807</v>
      </c>
      <c r="P60" s="21">
        <v>0</v>
      </c>
      <c r="Q60" s="21">
        <v>26327.61791602549</v>
      </c>
      <c r="R60" s="21">
        <v>26327.61791602549</v>
      </c>
      <c r="S60" s="21">
        <v>0</v>
      </c>
      <c r="T60" s="26" t="s">
        <v>344</v>
      </c>
      <c r="U60" s="27" t="s">
        <v>345</v>
      </c>
      <c r="V60" s="26" t="s">
        <v>229</v>
      </c>
    </row>
    <row r="61" spans="1:22" x14ac:dyDescent="0.25">
      <c r="A61" s="22">
        <v>59</v>
      </c>
      <c r="B61" s="23">
        <v>47788</v>
      </c>
      <c r="C61" s="23">
        <v>47817</v>
      </c>
      <c r="D61" s="23">
        <v>47817</v>
      </c>
      <c r="E61" s="4" t="s">
        <v>222</v>
      </c>
      <c r="F61" s="9">
        <v>26327.61791602549</v>
      </c>
      <c r="G61" s="18" t="s">
        <v>1</v>
      </c>
      <c r="H61" s="4" t="s">
        <v>1</v>
      </c>
      <c r="I61" s="9">
        <v>13260</v>
      </c>
      <c r="J61" s="9">
        <v>26327.61791602549</v>
      </c>
      <c r="K61" s="16">
        <v>0.004867550565343048</v>
      </c>
      <c r="L61" s="25">
        <v>1</v>
      </c>
      <c r="M61" s="16">
        <v>0.004867550565343048</v>
      </c>
      <c r="N61" s="9">
        <v>128.15101147128564</v>
      </c>
      <c r="O61" s="9">
        <v>128.15101147128564</v>
      </c>
      <c r="P61" s="9">
        <v>0</v>
      </c>
      <c r="Q61" s="9">
        <v>13195.768927496778</v>
      </c>
      <c r="R61" s="9">
        <v>13195.768927496778</v>
      </c>
      <c r="S61" s="9">
        <v>0</v>
      </c>
      <c r="T61" s="4" t="s">
        <v>346</v>
      </c>
      <c r="U61" s="18" t="s">
        <v>347</v>
      </c>
      <c r="V61" s="4" t="s">
        <v>229</v>
      </c>
    </row>
    <row r="62" spans="1:22" x14ac:dyDescent="0.25">
      <c r="A62" s="19">
        <v>60</v>
      </c>
      <c r="B62" s="24">
        <v>47818</v>
      </c>
      <c r="C62" s="24">
        <v>47848</v>
      </c>
      <c r="D62" s="24">
        <v>47848</v>
      </c>
      <c r="E62" s="26" t="s">
        <v>222</v>
      </c>
      <c r="F62" s="21">
        <v>13195.768927496778</v>
      </c>
      <c r="G62" s="27" t="s">
        <v>1</v>
      </c>
      <c r="H62" s="26" t="s">
        <v>1</v>
      </c>
      <c r="I62" s="21">
        <v>13260</v>
      </c>
      <c r="J62" s="21">
        <v>13195.768927496778</v>
      </c>
      <c r="K62" s="28">
        <v>0.004867550565343048</v>
      </c>
      <c r="L62" s="29">
        <v>1</v>
      </c>
      <c r="M62" s="28">
        <v>0.004867550565343048</v>
      </c>
      <c r="N62" s="21">
        <v>64.23107250317317</v>
      </c>
      <c r="O62" s="21">
        <v>64.23107250317317</v>
      </c>
      <c r="P62" s="21">
        <v>0</v>
      </c>
      <c r="Q62" s="21">
        <v>0</v>
      </c>
      <c r="R62" s="21">
        <v>0</v>
      </c>
      <c r="S62" s="21">
        <v>0</v>
      </c>
      <c r="T62" s="26" t="s">
        <v>348</v>
      </c>
      <c r="U62" s="27" t="s">
        <v>349</v>
      </c>
      <c r="V62" s="26" t="s">
        <v>229</v>
      </c>
    </row>
  </sheetData>
  <autoFilter ref="A2:V62"/>
  <pageMargins left="0.35" right="0.35" top="0.55" bottom="0.55" header="0.2" footer="0.2"/>
  <pageSetup orientation="landscape" horizontalDpi="4294967295" verticalDpi="4294967295" scale="100" fitToWidth="1" fitToHeight="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E63"/>
  <sheetViews>
    <sheetView workbookViewId="0" showGridLines="0"/>
  </sheetViews>
  <sheetFormatPr defaultRowHeight="20" outlineLevelRow="0" outlineLevelCol="0" x14ac:dyDescent="55" customHeight="1"/>
  <cols>
    <col min="1" max="1" width="10" customWidth="1"/>
    <col min="2" max="2" width="18" customWidth="1"/>
    <col min="3" max="5" width="19" customWidth="1"/>
  </cols>
  <sheetData>
    <row r="1" ht="30" customHeight="1" spans="1:5" x14ac:dyDescent="0.25">
      <c r="A1" s="1" t="s">
        <v>350</v>
      </c>
      <c r="B1" s="2"/>
      <c r="C1" s="2"/>
      <c r="D1" s="2"/>
      <c r="E1" s="2"/>
    </row>
    <row r="2" spans="1:5" x14ac:dyDescent="0.25">
      <c r="A2" s="11" t="s">
        <v>196</v>
      </c>
      <c r="B2" s="10" t="s">
        <v>351</v>
      </c>
      <c r="C2" s="17" t="s">
        <v>352</v>
      </c>
      <c r="D2" s="17" t="s">
        <v>353</v>
      </c>
      <c r="E2" s="17" t="s">
        <v>354</v>
      </c>
    </row>
    <row r="3" spans="1:5" x14ac:dyDescent="0.25">
      <c r="A3" s="19">
        <v>0</v>
      </c>
      <c r="B3" s="24">
        <v>46023</v>
      </c>
      <c r="C3" s="21">
        <v>602759.9605104219</v>
      </c>
      <c r="D3" s="21">
        <v>0</v>
      </c>
      <c r="E3" s="21">
        <v>602759.9605104219</v>
      </c>
    </row>
    <row r="4" spans="1:5" x14ac:dyDescent="0.25">
      <c r="A4" s="22">
        <v>1</v>
      </c>
      <c r="B4" s="23">
        <v>46053</v>
      </c>
      <c r="C4" s="9">
        <v>602759.9605104219</v>
      </c>
      <c r="D4" s="9">
        <v>10045.999341840365</v>
      </c>
      <c r="E4" s="9">
        <v>592713.9611685815</v>
      </c>
    </row>
    <row r="5" spans="1:5" x14ac:dyDescent="0.25">
      <c r="A5" s="19">
        <v>2</v>
      </c>
      <c r="B5" s="24">
        <v>46081</v>
      </c>
      <c r="C5" s="21">
        <v>592713.9611685815</v>
      </c>
      <c r="D5" s="21">
        <v>10045.999341840365</v>
      </c>
      <c r="E5" s="21">
        <v>582667.9618267411</v>
      </c>
    </row>
    <row r="6" spans="1:5" x14ac:dyDescent="0.25">
      <c r="A6" s="22">
        <v>3</v>
      </c>
      <c r="B6" s="23">
        <v>46112</v>
      </c>
      <c r="C6" s="9">
        <v>582667.9618267411</v>
      </c>
      <c r="D6" s="9">
        <v>10045.999341840365</v>
      </c>
      <c r="E6" s="9">
        <v>572621.9624849007</v>
      </c>
    </row>
    <row r="7" spans="1:5" x14ac:dyDescent="0.25">
      <c r="A7" s="19">
        <v>4</v>
      </c>
      <c r="B7" s="24">
        <v>46142</v>
      </c>
      <c r="C7" s="21">
        <v>572621.9624849007</v>
      </c>
      <c r="D7" s="21">
        <v>10045.999341840363</v>
      </c>
      <c r="E7" s="21">
        <v>562575.9631430603</v>
      </c>
    </row>
    <row r="8" spans="1:5" x14ac:dyDescent="0.25">
      <c r="A8" s="22">
        <v>5</v>
      </c>
      <c r="B8" s="23">
        <v>46173</v>
      </c>
      <c r="C8" s="9">
        <v>562575.9631430603</v>
      </c>
      <c r="D8" s="9">
        <v>10045.999341840363</v>
      </c>
      <c r="E8" s="9">
        <v>552529.96380122</v>
      </c>
    </row>
    <row r="9" spans="1:5" x14ac:dyDescent="0.25">
      <c r="A9" s="19">
        <v>6</v>
      </c>
      <c r="B9" s="24">
        <v>46203</v>
      </c>
      <c r="C9" s="21">
        <v>552529.96380122</v>
      </c>
      <c r="D9" s="21">
        <v>10045.999341840363</v>
      </c>
      <c r="E9" s="21">
        <v>542483.9644593796</v>
      </c>
    </row>
    <row r="10" spans="1:5" x14ac:dyDescent="0.25">
      <c r="A10" s="22">
        <v>7</v>
      </c>
      <c r="B10" s="23">
        <v>46234</v>
      </c>
      <c r="C10" s="9">
        <v>542483.9644593796</v>
      </c>
      <c r="D10" s="9">
        <v>10045.999341840361</v>
      </c>
      <c r="E10" s="9">
        <v>532437.9651175392</v>
      </c>
    </row>
    <row r="11" spans="1:5" x14ac:dyDescent="0.25">
      <c r="A11" s="19">
        <v>8</v>
      </c>
      <c r="B11" s="24">
        <v>46265</v>
      </c>
      <c r="C11" s="21">
        <v>532437.9651175392</v>
      </c>
      <c r="D11" s="21">
        <v>10045.999341840361</v>
      </c>
      <c r="E11" s="21">
        <v>522391.9657756988</v>
      </c>
    </row>
    <row r="12" spans="1:5" x14ac:dyDescent="0.25">
      <c r="A12" s="22">
        <v>9</v>
      </c>
      <c r="B12" s="23">
        <v>46295</v>
      </c>
      <c r="C12" s="9">
        <v>522391.9657756988</v>
      </c>
      <c r="D12" s="9">
        <v>10045.999341840361</v>
      </c>
      <c r="E12" s="9">
        <v>512345.9664338584</v>
      </c>
    </row>
    <row r="13" spans="1:5" x14ac:dyDescent="0.25">
      <c r="A13" s="19">
        <v>10</v>
      </c>
      <c r="B13" s="24">
        <v>46326</v>
      </c>
      <c r="C13" s="21">
        <v>512345.9664338584</v>
      </c>
      <c r="D13" s="21">
        <v>10045.999341840361</v>
      </c>
      <c r="E13" s="21">
        <v>502299.967092018</v>
      </c>
    </row>
    <row r="14" spans="1:5" x14ac:dyDescent="0.25">
      <c r="A14" s="22">
        <v>11</v>
      </c>
      <c r="B14" s="23">
        <v>46356</v>
      </c>
      <c r="C14" s="9">
        <v>502299.967092018</v>
      </c>
      <c r="D14" s="9">
        <v>10045.99934184036</v>
      </c>
      <c r="E14" s="9">
        <v>492253.96775017766</v>
      </c>
    </row>
    <row r="15" spans="1:5" x14ac:dyDescent="0.25">
      <c r="A15" s="19">
        <v>12</v>
      </c>
      <c r="B15" s="24">
        <v>46387</v>
      </c>
      <c r="C15" s="21">
        <v>492253.96775017766</v>
      </c>
      <c r="D15" s="21">
        <v>10045.99934184036</v>
      </c>
      <c r="E15" s="21">
        <v>482207.9684083373</v>
      </c>
    </row>
    <row r="16" spans="1:5" x14ac:dyDescent="0.25">
      <c r="A16" s="22">
        <v>13</v>
      </c>
      <c r="B16" s="23">
        <v>46418</v>
      </c>
      <c r="C16" s="9">
        <v>502710.0752290229</v>
      </c>
      <c r="D16" s="9">
        <v>10473.126567271309</v>
      </c>
      <c r="E16" s="9">
        <v>492236.9486617516</v>
      </c>
    </row>
    <row r="17" spans="1:5" x14ac:dyDescent="0.25">
      <c r="A17" s="19">
        <v>14</v>
      </c>
      <c r="B17" s="24">
        <v>46446</v>
      </c>
      <c r="C17" s="21">
        <v>492236.9486617516</v>
      </c>
      <c r="D17" s="21">
        <v>10473.12656727131</v>
      </c>
      <c r="E17" s="21">
        <v>481763.8220944803</v>
      </c>
    </row>
    <row r="18" spans="1:5" x14ac:dyDescent="0.25">
      <c r="A18" s="22">
        <v>15</v>
      </c>
      <c r="B18" s="23">
        <v>46477</v>
      </c>
      <c r="C18" s="9">
        <v>481763.8220944803</v>
      </c>
      <c r="D18" s="9">
        <v>10473.12656727131</v>
      </c>
      <c r="E18" s="9">
        <v>471290.69552720897</v>
      </c>
    </row>
    <row r="19" spans="1:5" x14ac:dyDescent="0.25">
      <c r="A19" s="19">
        <v>16</v>
      </c>
      <c r="B19" s="24">
        <v>46507</v>
      </c>
      <c r="C19" s="21">
        <v>471290.69552720897</v>
      </c>
      <c r="D19" s="21">
        <v>10473.12656727131</v>
      </c>
      <c r="E19" s="21">
        <v>460817.56895993766</v>
      </c>
    </row>
    <row r="20" spans="1:5" x14ac:dyDescent="0.25">
      <c r="A20" s="22">
        <v>17</v>
      </c>
      <c r="B20" s="23">
        <v>46538</v>
      </c>
      <c r="C20" s="9">
        <v>460817.56895993766</v>
      </c>
      <c r="D20" s="9">
        <v>10473.12656727131</v>
      </c>
      <c r="E20" s="9">
        <v>450344.44239266636</v>
      </c>
    </row>
    <row r="21" spans="1:5" x14ac:dyDescent="0.25">
      <c r="A21" s="19">
        <v>18</v>
      </c>
      <c r="B21" s="24">
        <v>46568</v>
      </c>
      <c r="C21" s="21">
        <v>450344.44239266636</v>
      </c>
      <c r="D21" s="21">
        <v>10473.12656727131</v>
      </c>
      <c r="E21" s="21">
        <v>439871.31582539505</v>
      </c>
    </row>
    <row r="22" spans="1:5" x14ac:dyDescent="0.25">
      <c r="A22" s="22">
        <v>19</v>
      </c>
      <c r="B22" s="23">
        <v>46599</v>
      </c>
      <c r="C22" s="9">
        <v>439871.31582539505</v>
      </c>
      <c r="D22" s="9">
        <v>10473.12656727131</v>
      </c>
      <c r="E22" s="9">
        <v>429398.18925812375</v>
      </c>
    </row>
    <row r="23" spans="1:5" x14ac:dyDescent="0.25">
      <c r="A23" s="19">
        <v>20</v>
      </c>
      <c r="B23" s="24">
        <v>46630</v>
      </c>
      <c r="C23" s="21">
        <v>429398.18925812375</v>
      </c>
      <c r="D23" s="21">
        <v>10473.12656727131</v>
      </c>
      <c r="E23" s="21">
        <v>418925.06269085244</v>
      </c>
    </row>
    <row r="24" spans="1:5" x14ac:dyDescent="0.25">
      <c r="A24" s="22">
        <v>21</v>
      </c>
      <c r="B24" s="23">
        <v>46660</v>
      </c>
      <c r="C24" s="9">
        <v>418925.06269085244</v>
      </c>
      <c r="D24" s="9">
        <v>10473.126567271313</v>
      </c>
      <c r="E24" s="9">
        <v>408451.93612358114</v>
      </c>
    </row>
    <row r="25" spans="1:5" x14ac:dyDescent="0.25">
      <c r="A25" s="19">
        <v>22</v>
      </c>
      <c r="B25" s="24">
        <v>46691</v>
      </c>
      <c r="C25" s="21">
        <v>408451.93612358114</v>
      </c>
      <c r="D25" s="21">
        <v>10473.12656727131</v>
      </c>
      <c r="E25" s="21">
        <v>397978.80955630983</v>
      </c>
    </row>
    <row r="26" spans="1:5" x14ac:dyDescent="0.25">
      <c r="A26" s="22">
        <v>23</v>
      </c>
      <c r="B26" s="23">
        <v>46721</v>
      </c>
      <c r="C26" s="9">
        <v>397978.80955630983</v>
      </c>
      <c r="D26" s="9">
        <v>10473.12656727131</v>
      </c>
      <c r="E26" s="9">
        <v>387505.6829890385</v>
      </c>
    </row>
    <row r="27" spans="1:5" x14ac:dyDescent="0.25">
      <c r="A27" s="19">
        <v>24</v>
      </c>
      <c r="B27" s="24">
        <v>46752</v>
      </c>
      <c r="C27" s="21">
        <v>387505.6829890385</v>
      </c>
      <c r="D27" s="21">
        <v>10473.126567271313</v>
      </c>
      <c r="E27" s="21">
        <v>377032.5564217672</v>
      </c>
    </row>
    <row r="28" spans="1:5" x14ac:dyDescent="0.25">
      <c r="A28" s="22">
        <v>25</v>
      </c>
      <c r="B28" s="23">
        <v>46783</v>
      </c>
      <c r="C28" s="9">
        <v>389684.956122366</v>
      </c>
      <c r="D28" s="9">
        <v>10824.582114510167</v>
      </c>
      <c r="E28" s="9">
        <v>378860.37400785583</v>
      </c>
    </row>
    <row r="29" spans="1:5" x14ac:dyDescent="0.25">
      <c r="A29" s="19">
        <v>26</v>
      </c>
      <c r="B29" s="24">
        <v>46812</v>
      </c>
      <c r="C29" s="21">
        <v>378860.37400785583</v>
      </c>
      <c r="D29" s="21">
        <v>10824.582114510165</v>
      </c>
      <c r="E29" s="21">
        <v>368035.79189334565</v>
      </c>
    </row>
    <row r="30" spans="1:5" x14ac:dyDescent="0.25">
      <c r="A30" s="22">
        <v>27</v>
      </c>
      <c r="B30" s="23">
        <v>46843</v>
      </c>
      <c r="C30" s="9">
        <v>368035.79189334565</v>
      </c>
      <c r="D30" s="9">
        <v>10824.582114510165</v>
      </c>
      <c r="E30" s="9">
        <v>357211.2097788355</v>
      </c>
    </row>
    <row r="31" spans="1:5" x14ac:dyDescent="0.25">
      <c r="A31" s="19">
        <v>28</v>
      </c>
      <c r="B31" s="24">
        <v>46873</v>
      </c>
      <c r="C31" s="21">
        <v>357211.2097788355</v>
      </c>
      <c r="D31" s="21">
        <v>10824.582114510165</v>
      </c>
      <c r="E31" s="21">
        <v>346386.6276643253</v>
      </c>
    </row>
    <row r="32" spans="1:5" x14ac:dyDescent="0.25">
      <c r="A32" s="22">
        <v>29</v>
      </c>
      <c r="B32" s="23">
        <v>46904</v>
      </c>
      <c r="C32" s="9">
        <v>346386.6276643253</v>
      </c>
      <c r="D32" s="9">
        <v>10824.582114510165</v>
      </c>
      <c r="E32" s="9">
        <v>335562.0455498151</v>
      </c>
    </row>
    <row r="33" spans="1:5" x14ac:dyDescent="0.25">
      <c r="A33" s="19">
        <v>30</v>
      </c>
      <c r="B33" s="24">
        <v>46934</v>
      </c>
      <c r="C33" s="21">
        <v>335562.0455498151</v>
      </c>
      <c r="D33" s="21">
        <v>10824.582114510165</v>
      </c>
      <c r="E33" s="21">
        <v>324737.46343530493</v>
      </c>
    </row>
    <row r="34" spans="1:5" x14ac:dyDescent="0.25">
      <c r="A34" s="22">
        <v>31</v>
      </c>
      <c r="B34" s="23">
        <v>46965</v>
      </c>
      <c r="C34" s="9">
        <v>324737.46343530493</v>
      </c>
      <c r="D34" s="9">
        <v>10824.582114510164</v>
      </c>
      <c r="E34" s="9">
        <v>313912.88132079475</v>
      </c>
    </row>
    <row r="35" spans="1:5" x14ac:dyDescent="0.25">
      <c r="A35" s="19">
        <v>32</v>
      </c>
      <c r="B35" s="24">
        <v>46996</v>
      </c>
      <c r="C35" s="21">
        <v>313912.88132079475</v>
      </c>
      <c r="D35" s="21">
        <v>10824.582114510164</v>
      </c>
      <c r="E35" s="21">
        <v>303088.2992062846</v>
      </c>
    </row>
    <row r="36" spans="1:5" x14ac:dyDescent="0.25">
      <c r="A36" s="22">
        <v>33</v>
      </c>
      <c r="B36" s="23">
        <v>47026</v>
      </c>
      <c r="C36" s="9">
        <v>303088.2992062846</v>
      </c>
      <c r="D36" s="9">
        <v>10824.582114510164</v>
      </c>
      <c r="E36" s="9">
        <v>292263.7170917744</v>
      </c>
    </row>
    <row r="37" spans="1:5" x14ac:dyDescent="0.25">
      <c r="A37" s="19">
        <v>34</v>
      </c>
      <c r="B37" s="24">
        <v>47057</v>
      </c>
      <c r="C37" s="21">
        <v>292263.7170917744</v>
      </c>
      <c r="D37" s="21">
        <v>10824.582114510162</v>
      </c>
      <c r="E37" s="21">
        <v>281439.1349772642</v>
      </c>
    </row>
    <row r="38" spans="1:5" x14ac:dyDescent="0.25">
      <c r="A38" s="22">
        <v>35</v>
      </c>
      <c r="B38" s="23">
        <v>47087</v>
      </c>
      <c r="C38" s="9">
        <v>281439.1349772642</v>
      </c>
      <c r="D38" s="9">
        <v>10824.582114510162</v>
      </c>
      <c r="E38" s="9">
        <v>270614.55286275403</v>
      </c>
    </row>
    <row r="39" spans="1:5" x14ac:dyDescent="0.25">
      <c r="A39" s="19">
        <v>36</v>
      </c>
      <c r="B39" s="24">
        <v>47118</v>
      </c>
      <c r="C39" s="21">
        <v>270614.55286275403</v>
      </c>
      <c r="D39" s="21">
        <v>10824.582114510162</v>
      </c>
      <c r="E39" s="21">
        <v>259789.97074824388</v>
      </c>
    </row>
    <row r="40" spans="1:5" x14ac:dyDescent="0.25">
      <c r="A40" s="22">
        <v>37</v>
      </c>
      <c r="B40" s="23">
        <v>47149</v>
      </c>
      <c r="C40" s="9">
        <v>268739.3199475141</v>
      </c>
      <c r="D40" s="9">
        <v>11197.471664479754</v>
      </c>
      <c r="E40" s="9">
        <v>257541.84828303434</v>
      </c>
    </row>
    <row r="41" spans="1:5" x14ac:dyDescent="0.25">
      <c r="A41" s="19">
        <v>38</v>
      </c>
      <c r="B41" s="24">
        <v>47177</v>
      </c>
      <c r="C41" s="21">
        <v>257541.84828303434</v>
      </c>
      <c r="D41" s="21">
        <v>11197.471664479754</v>
      </c>
      <c r="E41" s="21">
        <v>246344.37661855458</v>
      </c>
    </row>
    <row r="42" spans="1:5" x14ac:dyDescent="0.25">
      <c r="A42" s="22">
        <v>39</v>
      </c>
      <c r="B42" s="23">
        <v>47208</v>
      </c>
      <c r="C42" s="9">
        <v>246344.37661855458</v>
      </c>
      <c r="D42" s="9">
        <v>11197.471664479754</v>
      </c>
      <c r="E42" s="9">
        <v>235146.90495407482</v>
      </c>
    </row>
    <row r="43" spans="1:5" x14ac:dyDescent="0.25">
      <c r="A43" s="19">
        <v>40</v>
      </c>
      <c r="B43" s="24">
        <v>47238</v>
      </c>
      <c r="C43" s="21">
        <v>235146.90495407482</v>
      </c>
      <c r="D43" s="21">
        <v>11197.471664479754</v>
      </c>
      <c r="E43" s="21">
        <v>223949.43328959506</v>
      </c>
    </row>
    <row r="44" spans="1:5" x14ac:dyDescent="0.25">
      <c r="A44" s="22">
        <v>41</v>
      </c>
      <c r="B44" s="23">
        <v>47269</v>
      </c>
      <c r="C44" s="9">
        <v>223949.43328959506</v>
      </c>
      <c r="D44" s="9">
        <v>11197.471664479754</v>
      </c>
      <c r="E44" s="9">
        <v>212751.9616251153</v>
      </c>
    </row>
    <row r="45" spans="1:5" x14ac:dyDescent="0.25">
      <c r="A45" s="19">
        <v>42</v>
      </c>
      <c r="B45" s="24">
        <v>47299</v>
      </c>
      <c r="C45" s="21">
        <v>212751.9616251153</v>
      </c>
      <c r="D45" s="21">
        <v>11197.471664479752</v>
      </c>
      <c r="E45" s="21">
        <v>201554.48996063555</v>
      </c>
    </row>
    <row r="46" spans="1:5" x14ac:dyDescent="0.25">
      <c r="A46" s="22">
        <v>43</v>
      </c>
      <c r="B46" s="23">
        <v>47330</v>
      </c>
      <c r="C46" s="9">
        <v>201554.48996063555</v>
      </c>
      <c r="D46" s="9">
        <v>11197.471664479752</v>
      </c>
      <c r="E46" s="9">
        <v>190357.0182961558</v>
      </c>
    </row>
    <row r="47" spans="1:5" x14ac:dyDescent="0.25">
      <c r="A47" s="19">
        <v>44</v>
      </c>
      <c r="B47" s="24">
        <v>47361</v>
      </c>
      <c r="C47" s="21">
        <v>190357.0182961558</v>
      </c>
      <c r="D47" s="21">
        <v>11197.471664479752</v>
      </c>
      <c r="E47" s="21">
        <v>179159.54663167603</v>
      </c>
    </row>
    <row r="48" spans="1:5" x14ac:dyDescent="0.25">
      <c r="A48" s="22">
        <v>45</v>
      </c>
      <c r="B48" s="23">
        <v>47391</v>
      </c>
      <c r="C48" s="9">
        <v>179159.54663167603</v>
      </c>
      <c r="D48" s="9">
        <v>11197.471664479752</v>
      </c>
      <c r="E48" s="9">
        <v>167962.07496719627</v>
      </c>
    </row>
    <row r="49" spans="1:5" x14ac:dyDescent="0.25">
      <c r="A49" s="19">
        <v>46</v>
      </c>
      <c r="B49" s="24">
        <v>47422</v>
      </c>
      <c r="C49" s="21">
        <v>167962.07496719627</v>
      </c>
      <c r="D49" s="21">
        <v>11197.471664479752</v>
      </c>
      <c r="E49" s="21">
        <v>156764.6033027165</v>
      </c>
    </row>
    <row r="50" spans="1:5" x14ac:dyDescent="0.25">
      <c r="A50" s="22">
        <v>47</v>
      </c>
      <c r="B50" s="23">
        <v>47452</v>
      </c>
      <c r="C50" s="9">
        <v>156764.6033027165</v>
      </c>
      <c r="D50" s="9">
        <v>11197.47166447975</v>
      </c>
      <c r="E50" s="9">
        <v>145567.13163823675</v>
      </c>
    </row>
    <row r="51" spans="1:5" x14ac:dyDescent="0.25">
      <c r="A51" s="19">
        <v>48</v>
      </c>
      <c r="B51" s="24">
        <v>47483</v>
      </c>
      <c r="C51" s="21">
        <v>145567.13163823675</v>
      </c>
      <c r="D51" s="21">
        <v>11197.47166447975</v>
      </c>
      <c r="E51" s="21">
        <v>134369.659973757</v>
      </c>
    </row>
    <row r="52" spans="1:5" x14ac:dyDescent="0.25">
      <c r="A52" s="22">
        <v>49</v>
      </c>
      <c r="B52" s="23">
        <v>47514</v>
      </c>
      <c r="C52" s="9">
        <v>134369.659973757</v>
      </c>
      <c r="D52" s="9">
        <v>11197.471664479748</v>
      </c>
      <c r="E52" s="9">
        <v>123172.18830927725</v>
      </c>
    </row>
    <row r="53" spans="1:5" x14ac:dyDescent="0.25">
      <c r="A53" s="19">
        <v>50</v>
      </c>
      <c r="B53" s="24">
        <v>47542</v>
      </c>
      <c r="C53" s="21">
        <v>123172.18830927725</v>
      </c>
      <c r="D53" s="21">
        <v>11197.47166447975</v>
      </c>
      <c r="E53" s="21">
        <v>111974.7166447975</v>
      </c>
    </row>
    <row r="54" spans="1:5" x14ac:dyDescent="0.25">
      <c r="A54" s="22">
        <v>51</v>
      </c>
      <c r="B54" s="23">
        <v>47573</v>
      </c>
      <c r="C54" s="9">
        <v>111974.7166447975</v>
      </c>
      <c r="D54" s="9">
        <v>11197.471664479752</v>
      </c>
      <c r="E54" s="9">
        <v>100777.24498031774</v>
      </c>
    </row>
    <row r="55" spans="1:5" x14ac:dyDescent="0.25">
      <c r="A55" s="19">
        <v>52</v>
      </c>
      <c r="B55" s="24">
        <v>47603</v>
      </c>
      <c r="C55" s="21">
        <v>100777.24498031774</v>
      </c>
      <c r="D55" s="21">
        <v>11197.471664479748</v>
      </c>
      <c r="E55" s="21">
        <v>89579.773315838</v>
      </c>
    </row>
    <row r="56" spans="1:5" x14ac:dyDescent="0.25">
      <c r="A56" s="22">
        <v>53</v>
      </c>
      <c r="B56" s="23">
        <v>47634</v>
      </c>
      <c r="C56" s="9">
        <v>89579.773315838</v>
      </c>
      <c r="D56" s="9">
        <v>11197.47166447975</v>
      </c>
      <c r="E56" s="9">
        <v>78382.30165135826</v>
      </c>
    </row>
    <row r="57" spans="1:5" x14ac:dyDescent="0.25">
      <c r="A57" s="19">
        <v>54</v>
      </c>
      <c r="B57" s="24">
        <v>47664</v>
      </c>
      <c r="C57" s="21">
        <v>78382.30165135826</v>
      </c>
      <c r="D57" s="21">
        <v>11197.47166447975</v>
      </c>
      <c r="E57" s="21">
        <v>67184.82998687851</v>
      </c>
    </row>
    <row r="58" spans="1:5" x14ac:dyDescent="0.25">
      <c r="A58" s="22">
        <v>55</v>
      </c>
      <c r="B58" s="23">
        <v>47695</v>
      </c>
      <c r="C58" s="9">
        <v>67184.82998687851</v>
      </c>
      <c r="D58" s="9">
        <v>11197.471664479752</v>
      </c>
      <c r="E58" s="9">
        <v>55987.35832239876</v>
      </c>
    </row>
    <row r="59" spans="1:5" x14ac:dyDescent="0.25">
      <c r="A59" s="19">
        <v>56</v>
      </c>
      <c r="B59" s="24">
        <v>47726</v>
      </c>
      <c r="C59" s="21">
        <v>55987.35832239876</v>
      </c>
      <c r="D59" s="21">
        <v>11197.471664479752</v>
      </c>
      <c r="E59" s="21">
        <v>44789.88665791901</v>
      </c>
    </row>
    <row r="60" spans="1:5" x14ac:dyDescent="0.25">
      <c r="A60" s="22">
        <v>57</v>
      </c>
      <c r="B60" s="23">
        <v>47756</v>
      </c>
      <c r="C60" s="9">
        <v>44789.88665791901</v>
      </c>
      <c r="D60" s="9">
        <v>11197.471664479752</v>
      </c>
      <c r="E60" s="9">
        <v>33592.414993439255</v>
      </c>
    </row>
    <row r="61" spans="1:5" x14ac:dyDescent="0.25">
      <c r="A61" s="19">
        <v>58</v>
      </c>
      <c r="B61" s="24">
        <v>47787</v>
      </c>
      <c r="C61" s="21">
        <v>33592.414993439255</v>
      </c>
      <c r="D61" s="21">
        <v>11197.471664479752</v>
      </c>
      <c r="E61" s="21">
        <v>22394.943328959504</v>
      </c>
    </row>
    <row r="62" spans="1:5" x14ac:dyDescent="0.25">
      <c r="A62" s="22">
        <v>59</v>
      </c>
      <c r="B62" s="23">
        <v>47817</v>
      </c>
      <c r="C62" s="9">
        <v>22394.943328959504</v>
      </c>
      <c r="D62" s="9">
        <v>11197.471664479752</v>
      </c>
      <c r="E62" s="9">
        <v>11197.471664479752</v>
      </c>
    </row>
    <row r="63" spans="1:5" x14ac:dyDescent="0.25">
      <c r="A63" s="19">
        <v>60</v>
      </c>
      <c r="B63" s="24">
        <v>47848</v>
      </c>
      <c r="C63" s="21">
        <v>11197.471664479752</v>
      </c>
      <c r="D63" s="21">
        <v>11197.471664479752</v>
      </c>
      <c r="E63" s="21">
        <v>0</v>
      </c>
    </row>
  </sheetData>
  <autoFilter ref="A2:E63"/>
  <pageMargins left="0.35" right="0.35" top="0.55" bottom="0.55" header="0.2" footer="0.2"/>
  <pageSetup orientation="landscape" horizontalDpi="4294967295" verticalDpi="4294967295" scale="100"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Q62"/>
  <sheetViews>
    <sheetView workbookViewId="0" showGridLines="0"/>
  </sheetViews>
  <sheetFormatPr defaultRowHeight="20" outlineLevelRow="0" outlineLevelCol="0" x14ac:dyDescent="55" customHeight="1"/>
  <cols>
    <col min="1" max="1" width="8" customWidth="1"/>
    <col min="2" max="5" width="18" customWidth="1"/>
    <col min="6" max="6" width="54" customWidth="1"/>
    <col min="7" max="8" width="16" customWidth="1"/>
    <col min="9" max="9" width="20" customWidth="1"/>
    <col min="10" max="14" width="18" customWidth="1"/>
    <col min="15" max="15" width="15" customWidth="1"/>
    <col min="16" max="16" width="26" customWidth="1"/>
    <col min="17" max="17" width="56" customWidth="1"/>
  </cols>
  <sheetData>
    <row r="1" ht="30" customHeight="1" spans="1:17" x14ac:dyDescent="0.25">
      <c r="A1" s="1" t="s">
        <v>355</v>
      </c>
      <c r="B1" s="2"/>
      <c r="C1" s="2"/>
      <c r="D1" s="2"/>
      <c r="E1" s="2"/>
      <c r="F1" s="2"/>
      <c r="G1" s="2"/>
      <c r="H1" s="2"/>
      <c r="I1" s="2"/>
      <c r="J1" s="2"/>
      <c r="K1" s="2"/>
      <c r="L1" s="2"/>
      <c r="M1" s="2"/>
      <c r="N1" s="2"/>
      <c r="O1" s="2"/>
      <c r="P1" s="2"/>
      <c r="Q1" s="2"/>
    </row>
    <row r="2" spans="1:17" x14ac:dyDescent="0.25">
      <c r="A2" s="11" t="s">
        <v>196</v>
      </c>
      <c r="B2" s="10" t="s">
        <v>197</v>
      </c>
      <c r="C2" s="10" t="s">
        <v>198</v>
      </c>
      <c r="D2" s="17" t="s">
        <v>352</v>
      </c>
      <c r="E2" s="17" t="s">
        <v>206</v>
      </c>
      <c r="F2" s="10" t="s">
        <v>207</v>
      </c>
      <c r="G2" s="17" t="s">
        <v>211</v>
      </c>
      <c r="H2" s="17" t="s">
        <v>356</v>
      </c>
      <c r="I2" s="17" t="s">
        <v>357</v>
      </c>
      <c r="J2" s="17" t="s">
        <v>358</v>
      </c>
      <c r="K2" s="17" t="s">
        <v>359</v>
      </c>
      <c r="L2" s="17" t="s">
        <v>360</v>
      </c>
      <c r="M2" s="17" t="s">
        <v>361</v>
      </c>
      <c r="N2" s="17" t="s">
        <v>362</v>
      </c>
      <c r="O2" s="17" t="s">
        <v>218</v>
      </c>
      <c r="P2" s="10" t="s">
        <v>363</v>
      </c>
      <c r="Q2" s="10" t="s">
        <v>221</v>
      </c>
    </row>
    <row r="3" spans="1:17" x14ac:dyDescent="0.25">
      <c r="A3" s="22">
        <v>1</v>
      </c>
      <c r="B3" s="23">
        <v>46023</v>
      </c>
      <c r="C3" s="23">
        <v>46053</v>
      </c>
      <c r="D3" s="9">
        <v>602759.9605104219</v>
      </c>
      <c r="E3" s="18" t="s">
        <v>1</v>
      </c>
      <c r="F3" s="4" t="s">
        <v>1</v>
      </c>
      <c r="G3" s="25">
        <v>1</v>
      </c>
      <c r="H3" s="25">
        <v>60</v>
      </c>
      <c r="I3" s="9">
        <v>10045.999341840365</v>
      </c>
      <c r="J3" s="9">
        <v>10045.999341840365</v>
      </c>
      <c r="K3" s="9">
        <v>10045.999341840365</v>
      </c>
      <c r="L3" s="9">
        <v>0</v>
      </c>
      <c r="M3" s="9">
        <v>592713.9611685815</v>
      </c>
      <c r="N3" s="9">
        <v>592713.9611685815</v>
      </c>
      <c r="O3" s="9">
        <v>0</v>
      </c>
      <c r="P3" s="4" t="s">
        <v>223</v>
      </c>
      <c r="Q3" s="4" t="s">
        <v>364</v>
      </c>
    </row>
    <row r="4" spans="1:17" x14ac:dyDescent="0.25">
      <c r="A4" s="19">
        <v>2</v>
      </c>
      <c r="B4" s="24">
        <v>46054</v>
      </c>
      <c r="C4" s="24">
        <v>46081</v>
      </c>
      <c r="D4" s="21">
        <v>592713.9611685815</v>
      </c>
      <c r="E4" s="27" t="s">
        <v>1</v>
      </c>
      <c r="F4" s="26" t="s">
        <v>1</v>
      </c>
      <c r="G4" s="29">
        <v>1</v>
      </c>
      <c r="H4" s="29">
        <v>59</v>
      </c>
      <c r="I4" s="21">
        <v>10045.999341840365</v>
      </c>
      <c r="J4" s="21">
        <v>10045.999341840365</v>
      </c>
      <c r="K4" s="21">
        <v>10045.999341840365</v>
      </c>
      <c r="L4" s="21">
        <v>0</v>
      </c>
      <c r="M4" s="21">
        <v>582667.9618267411</v>
      </c>
      <c r="N4" s="21">
        <v>582667.9618267411</v>
      </c>
      <c r="O4" s="21">
        <v>0</v>
      </c>
      <c r="P4" s="26" t="s">
        <v>225</v>
      </c>
      <c r="Q4" s="26" t="s">
        <v>365</v>
      </c>
    </row>
    <row r="5" spans="1:17" x14ac:dyDescent="0.25">
      <c r="A5" s="22">
        <v>3</v>
      </c>
      <c r="B5" s="23">
        <v>46082</v>
      </c>
      <c r="C5" s="23">
        <v>46112</v>
      </c>
      <c r="D5" s="9">
        <v>582667.9618267411</v>
      </c>
      <c r="E5" s="18" t="s">
        <v>1</v>
      </c>
      <c r="F5" s="4" t="s">
        <v>1</v>
      </c>
      <c r="G5" s="25">
        <v>1</v>
      </c>
      <c r="H5" s="25">
        <v>58</v>
      </c>
      <c r="I5" s="9">
        <v>10045.999341840365</v>
      </c>
      <c r="J5" s="9">
        <v>10045.999341840365</v>
      </c>
      <c r="K5" s="9">
        <v>10045.999341840365</v>
      </c>
      <c r="L5" s="9">
        <v>0</v>
      </c>
      <c r="M5" s="9">
        <v>572621.9624849007</v>
      </c>
      <c r="N5" s="9">
        <v>572621.9624849007</v>
      </c>
      <c r="O5" s="9">
        <v>0</v>
      </c>
      <c r="P5" s="4" t="s">
        <v>227</v>
      </c>
      <c r="Q5" s="4" t="s">
        <v>366</v>
      </c>
    </row>
    <row r="6" spans="1:17" x14ac:dyDescent="0.25">
      <c r="A6" s="19">
        <v>4</v>
      </c>
      <c r="B6" s="24">
        <v>46113</v>
      </c>
      <c r="C6" s="24">
        <v>46142</v>
      </c>
      <c r="D6" s="21">
        <v>572621.9624849007</v>
      </c>
      <c r="E6" s="27" t="s">
        <v>1</v>
      </c>
      <c r="F6" s="26" t="s">
        <v>1</v>
      </c>
      <c r="G6" s="29">
        <v>1</v>
      </c>
      <c r="H6" s="29">
        <v>57</v>
      </c>
      <c r="I6" s="21">
        <v>10045.999341840363</v>
      </c>
      <c r="J6" s="21">
        <v>10045.999341840363</v>
      </c>
      <c r="K6" s="21">
        <v>10045.999341840363</v>
      </c>
      <c r="L6" s="21">
        <v>0</v>
      </c>
      <c r="M6" s="21">
        <v>562575.9631430603</v>
      </c>
      <c r="N6" s="21">
        <v>562575.9631430603</v>
      </c>
      <c r="O6" s="21">
        <v>0</v>
      </c>
      <c r="P6" s="26" t="s">
        <v>230</v>
      </c>
      <c r="Q6" s="26" t="s">
        <v>367</v>
      </c>
    </row>
    <row r="7" spans="1:17" x14ac:dyDescent="0.25">
      <c r="A7" s="22">
        <v>5</v>
      </c>
      <c r="B7" s="23">
        <v>46143</v>
      </c>
      <c r="C7" s="23">
        <v>46173</v>
      </c>
      <c r="D7" s="9">
        <v>562575.9631430603</v>
      </c>
      <c r="E7" s="18" t="s">
        <v>1</v>
      </c>
      <c r="F7" s="4" t="s">
        <v>1</v>
      </c>
      <c r="G7" s="25">
        <v>1</v>
      </c>
      <c r="H7" s="25">
        <v>56</v>
      </c>
      <c r="I7" s="9">
        <v>10045.999341840363</v>
      </c>
      <c r="J7" s="9">
        <v>10045.999341840363</v>
      </c>
      <c r="K7" s="9">
        <v>10045.999341840363</v>
      </c>
      <c r="L7" s="9">
        <v>0</v>
      </c>
      <c r="M7" s="9">
        <v>552529.96380122</v>
      </c>
      <c r="N7" s="9">
        <v>552529.96380122</v>
      </c>
      <c r="O7" s="9">
        <v>0</v>
      </c>
      <c r="P7" s="4" t="s">
        <v>232</v>
      </c>
      <c r="Q7" s="4" t="s">
        <v>368</v>
      </c>
    </row>
    <row r="8" spans="1:17" x14ac:dyDescent="0.25">
      <c r="A8" s="19">
        <v>6</v>
      </c>
      <c r="B8" s="24">
        <v>46174</v>
      </c>
      <c r="C8" s="24">
        <v>46203</v>
      </c>
      <c r="D8" s="21">
        <v>552529.96380122</v>
      </c>
      <c r="E8" s="27" t="s">
        <v>1</v>
      </c>
      <c r="F8" s="26" t="s">
        <v>1</v>
      </c>
      <c r="G8" s="29">
        <v>1</v>
      </c>
      <c r="H8" s="29">
        <v>55</v>
      </c>
      <c r="I8" s="21">
        <v>10045.999341840363</v>
      </c>
      <c r="J8" s="21">
        <v>10045.999341840363</v>
      </c>
      <c r="K8" s="21">
        <v>10045.999341840363</v>
      </c>
      <c r="L8" s="21">
        <v>0</v>
      </c>
      <c r="M8" s="21">
        <v>542483.9644593796</v>
      </c>
      <c r="N8" s="21">
        <v>542483.9644593796</v>
      </c>
      <c r="O8" s="21">
        <v>0</v>
      </c>
      <c r="P8" s="26" t="s">
        <v>234</v>
      </c>
      <c r="Q8" s="26" t="s">
        <v>369</v>
      </c>
    </row>
    <row r="9" spans="1:17" x14ac:dyDescent="0.25">
      <c r="A9" s="22">
        <v>7</v>
      </c>
      <c r="B9" s="23">
        <v>46204</v>
      </c>
      <c r="C9" s="23">
        <v>46234</v>
      </c>
      <c r="D9" s="9">
        <v>542483.9644593796</v>
      </c>
      <c r="E9" s="18" t="s">
        <v>1</v>
      </c>
      <c r="F9" s="4" t="s">
        <v>1</v>
      </c>
      <c r="G9" s="25">
        <v>1</v>
      </c>
      <c r="H9" s="25">
        <v>54</v>
      </c>
      <c r="I9" s="9">
        <v>10045.999341840363</v>
      </c>
      <c r="J9" s="9">
        <v>10045.999341840363</v>
      </c>
      <c r="K9" s="9">
        <v>10045.999341840361</v>
      </c>
      <c r="L9" s="9">
        <v>0</v>
      </c>
      <c r="M9" s="9">
        <v>532437.9651175392</v>
      </c>
      <c r="N9" s="9">
        <v>532437.9651175392</v>
      </c>
      <c r="O9" s="9">
        <v>0</v>
      </c>
      <c r="P9" s="4" t="s">
        <v>236</v>
      </c>
      <c r="Q9" s="4" t="s">
        <v>370</v>
      </c>
    </row>
    <row r="10" spans="1:17" x14ac:dyDescent="0.25">
      <c r="A10" s="19">
        <v>8</v>
      </c>
      <c r="B10" s="24">
        <v>46235</v>
      </c>
      <c r="C10" s="24">
        <v>46265</v>
      </c>
      <c r="D10" s="21">
        <v>532437.9651175392</v>
      </c>
      <c r="E10" s="27" t="s">
        <v>1</v>
      </c>
      <c r="F10" s="26" t="s">
        <v>1</v>
      </c>
      <c r="G10" s="29">
        <v>1</v>
      </c>
      <c r="H10" s="29">
        <v>53</v>
      </c>
      <c r="I10" s="21">
        <v>10045.999341840361</v>
      </c>
      <c r="J10" s="21">
        <v>10045.999341840361</v>
      </c>
      <c r="K10" s="21">
        <v>10045.999341840361</v>
      </c>
      <c r="L10" s="21">
        <v>0</v>
      </c>
      <c r="M10" s="21">
        <v>522391.9657756988</v>
      </c>
      <c r="N10" s="21">
        <v>522391.9657756988</v>
      </c>
      <c r="O10" s="21">
        <v>0</v>
      </c>
      <c r="P10" s="26" t="s">
        <v>238</v>
      </c>
      <c r="Q10" s="26" t="s">
        <v>371</v>
      </c>
    </row>
    <row r="11" spans="1:17" x14ac:dyDescent="0.25">
      <c r="A11" s="22">
        <v>9</v>
      </c>
      <c r="B11" s="23">
        <v>46266</v>
      </c>
      <c r="C11" s="23">
        <v>46295</v>
      </c>
      <c r="D11" s="9">
        <v>522391.9657756988</v>
      </c>
      <c r="E11" s="18" t="s">
        <v>1</v>
      </c>
      <c r="F11" s="4" t="s">
        <v>1</v>
      </c>
      <c r="G11" s="25">
        <v>1</v>
      </c>
      <c r="H11" s="25">
        <v>52</v>
      </c>
      <c r="I11" s="9">
        <v>10045.999341840361</v>
      </c>
      <c r="J11" s="9">
        <v>10045.999341840361</v>
      </c>
      <c r="K11" s="9">
        <v>10045.999341840361</v>
      </c>
      <c r="L11" s="9">
        <v>0</v>
      </c>
      <c r="M11" s="9">
        <v>512345.9664338584</v>
      </c>
      <c r="N11" s="9">
        <v>512345.9664338584</v>
      </c>
      <c r="O11" s="9">
        <v>0</v>
      </c>
      <c r="P11" s="4" t="s">
        <v>240</v>
      </c>
      <c r="Q11" s="4" t="s">
        <v>372</v>
      </c>
    </row>
    <row r="12" spans="1:17" x14ac:dyDescent="0.25">
      <c r="A12" s="19">
        <v>10</v>
      </c>
      <c r="B12" s="24">
        <v>46296</v>
      </c>
      <c r="C12" s="24">
        <v>46326</v>
      </c>
      <c r="D12" s="21">
        <v>512345.9664338584</v>
      </c>
      <c r="E12" s="27" t="s">
        <v>1</v>
      </c>
      <c r="F12" s="26" t="s">
        <v>1</v>
      </c>
      <c r="G12" s="29">
        <v>1</v>
      </c>
      <c r="H12" s="29">
        <v>51</v>
      </c>
      <c r="I12" s="21">
        <v>10045.999341840361</v>
      </c>
      <c r="J12" s="21">
        <v>10045.999341840361</v>
      </c>
      <c r="K12" s="21">
        <v>10045.999341840361</v>
      </c>
      <c r="L12" s="21">
        <v>0</v>
      </c>
      <c r="M12" s="21">
        <v>502299.967092018</v>
      </c>
      <c r="N12" s="21">
        <v>502299.967092018</v>
      </c>
      <c r="O12" s="21">
        <v>0</v>
      </c>
      <c r="P12" s="26" t="s">
        <v>242</v>
      </c>
      <c r="Q12" s="26" t="s">
        <v>373</v>
      </c>
    </row>
    <row r="13" spans="1:17" x14ac:dyDescent="0.25">
      <c r="A13" s="22">
        <v>11</v>
      </c>
      <c r="B13" s="23">
        <v>46327</v>
      </c>
      <c r="C13" s="23">
        <v>46356</v>
      </c>
      <c r="D13" s="9">
        <v>502299.967092018</v>
      </c>
      <c r="E13" s="18" t="s">
        <v>1</v>
      </c>
      <c r="F13" s="4" t="s">
        <v>1</v>
      </c>
      <c r="G13" s="25">
        <v>1</v>
      </c>
      <c r="H13" s="25">
        <v>50</v>
      </c>
      <c r="I13" s="9">
        <v>10045.99934184036</v>
      </c>
      <c r="J13" s="9">
        <v>10045.99934184036</v>
      </c>
      <c r="K13" s="9">
        <v>10045.99934184036</v>
      </c>
      <c r="L13" s="9">
        <v>0</v>
      </c>
      <c r="M13" s="9">
        <v>492253.96775017766</v>
      </c>
      <c r="N13" s="9">
        <v>492253.96775017766</v>
      </c>
      <c r="O13" s="9">
        <v>0</v>
      </c>
      <c r="P13" s="4" t="s">
        <v>244</v>
      </c>
      <c r="Q13" s="4" t="s">
        <v>374</v>
      </c>
    </row>
    <row r="14" spans="1:17" x14ac:dyDescent="0.25">
      <c r="A14" s="19">
        <v>12</v>
      </c>
      <c r="B14" s="24">
        <v>46357</v>
      </c>
      <c r="C14" s="24">
        <v>46387</v>
      </c>
      <c r="D14" s="21">
        <v>492253.96775017766</v>
      </c>
      <c r="E14" s="27" t="s">
        <v>1</v>
      </c>
      <c r="F14" s="26" t="s">
        <v>1</v>
      </c>
      <c r="G14" s="29">
        <v>1</v>
      </c>
      <c r="H14" s="29">
        <v>49</v>
      </c>
      <c r="I14" s="21">
        <v>10045.999341840361</v>
      </c>
      <c r="J14" s="21">
        <v>10045.999341840361</v>
      </c>
      <c r="K14" s="21">
        <v>10045.99934184036</v>
      </c>
      <c r="L14" s="21">
        <v>0</v>
      </c>
      <c r="M14" s="21">
        <v>482207.9684083373</v>
      </c>
      <c r="N14" s="21">
        <v>482207.9684083373</v>
      </c>
      <c r="O14" s="21">
        <v>0</v>
      </c>
      <c r="P14" s="26" t="s">
        <v>246</v>
      </c>
      <c r="Q14" s="26" t="s">
        <v>375</v>
      </c>
    </row>
    <row r="15" spans="1:17" x14ac:dyDescent="0.25">
      <c r="A15" s="22">
        <v>13</v>
      </c>
      <c r="B15" s="23">
        <v>46388</v>
      </c>
      <c r="C15" s="23">
        <v>46418</v>
      </c>
      <c r="D15" s="9">
        <v>502710.0752290229</v>
      </c>
      <c r="E15" s="9">
        <v>20502.11</v>
      </c>
      <c r="F15" s="4" t="s">
        <v>248</v>
      </c>
      <c r="G15" s="25">
        <v>1</v>
      </c>
      <c r="H15" s="25">
        <v>48</v>
      </c>
      <c r="I15" s="9">
        <v>10473.12656727131</v>
      </c>
      <c r="J15" s="9">
        <v>10473.12656727131</v>
      </c>
      <c r="K15" s="9">
        <v>10473.126567271309</v>
      </c>
      <c r="L15" s="9">
        <v>0</v>
      </c>
      <c r="M15" s="9">
        <v>492236.9486617516</v>
      </c>
      <c r="N15" s="9">
        <v>492236.9486617516</v>
      </c>
      <c r="O15" s="9">
        <v>0</v>
      </c>
      <c r="P15" s="4" t="s">
        <v>249</v>
      </c>
      <c r="Q15" s="4" t="s">
        <v>376</v>
      </c>
    </row>
    <row r="16" spans="1:17" x14ac:dyDescent="0.25">
      <c r="A16" s="19">
        <v>14</v>
      </c>
      <c r="B16" s="24">
        <v>46419</v>
      </c>
      <c r="C16" s="24">
        <v>46446</v>
      </c>
      <c r="D16" s="21">
        <v>492236.9486617516</v>
      </c>
      <c r="E16" s="27" t="s">
        <v>1</v>
      </c>
      <c r="F16" s="26" t="s">
        <v>1</v>
      </c>
      <c r="G16" s="29">
        <v>1</v>
      </c>
      <c r="H16" s="29">
        <v>47</v>
      </c>
      <c r="I16" s="21">
        <v>10473.12656727131</v>
      </c>
      <c r="J16" s="21">
        <v>10473.12656727131</v>
      </c>
      <c r="K16" s="21">
        <v>10473.12656727131</v>
      </c>
      <c r="L16" s="21">
        <v>0</v>
      </c>
      <c r="M16" s="21">
        <v>481763.8220944803</v>
      </c>
      <c r="N16" s="21">
        <v>481763.8220944803</v>
      </c>
      <c r="O16" s="21">
        <v>0</v>
      </c>
      <c r="P16" s="26" t="s">
        <v>252</v>
      </c>
      <c r="Q16" s="26" t="s">
        <v>377</v>
      </c>
    </row>
    <row r="17" spans="1:17" x14ac:dyDescent="0.25">
      <c r="A17" s="22">
        <v>15</v>
      </c>
      <c r="B17" s="23">
        <v>46447</v>
      </c>
      <c r="C17" s="23">
        <v>46477</v>
      </c>
      <c r="D17" s="9">
        <v>481763.8220944803</v>
      </c>
      <c r="E17" s="18" t="s">
        <v>1</v>
      </c>
      <c r="F17" s="4" t="s">
        <v>1</v>
      </c>
      <c r="G17" s="25">
        <v>1</v>
      </c>
      <c r="H17" s="25">
        <v>46</v>
      </c>
      <c r="I17" s="9">
        <v>10473.12656727131</v>
      </c>
      <c r="J17" s="9">
        <v>10473.12656727131</v>
      </c>
      <c r="K17" s="9">
        <v>10473.12656727131</v>
      </c>
      <c r="L17" s="9">
        <v>0</v>
      </c>
      <c r="M17" s="9">
        <v>471290.69552720897</v>
      </c>
      <c r="N17" s="9">
        <v>471290.69552720897</v>
      </c>
      <c r="O17" s="9">
        <v>0</v>
      </c>
      <c r="P17" s="4" t="s">
        <v>254</v>
      </c>
      <c r="Q17" s="4" t="s">
        <v>378</v>
      </c>
    </row>
    <row r="18" spans="1:17" x14ac:dyDescent="0.25">
      <c r="A18" s="19">
        <v>16</v>
      </c>
      <c r="B18" s="24">
        <v>46478</v>
      </c>
      <c r="C18" s="24">
        <v>46507</v>
      </c>
      <c r="D18" s="21">
        <v>471290.69552720897</v>
      </c>
      <c r="E18" s="27" t="s">
        <v>1</v>
      </c>
      <c r="F18" s="26" t="s">
        <v>1</v>
      </c>
      <c r="G18" s="29">
        <v>1</v>
      </c>
      <c r="H18" s="29">
        <v>45</v>
      </c>
      <c r="I18" s="21">
        <v>10473.12656727131</v>
      </c>
      <c r="J18" s="21">
        <v>10473.12656727131</v>
      </c>
      <c r="K18" s="21">
        <v>10473.12656727131</v>
      </c>
      <c r="L18" s="21">
        <v>0</v>
      </c>
      <c r="M18" s="21">
        <v>460817.56895993766</v>
      </c>
      <c r="N18" s="21">
        <v>460817.56895993766</v>
      </c>
      <c r="O18" s="21">
        <v>0</v>
      </c>
      <c r="P18" s="26" t="s">
        <v>256</v>
      </c>
      <c r="Q18" s="26" t="s">
        <v>379</v>
      </c>
    </row>
    <row r="19" spans="1:17" x14ac:dyDescent="0.25">
      <c r="A19" s="22">
        <v>17</v>
      </c>
      <c r="B19" s="23">
        <v>46508</v>
      </c>
      <c r="C19" s="23">
        <v>46538</v>
      </c>
      <c r="D19" s="9">
        <v>460817.56895993766</v>
      </c>
      <c r="E19" s="18" t="s">
        <v>1</v>
      </c>
      <c r="F19" s="4" t="s">
        <v>1</v>
      </c>
      <c r="G19" s="25">
        <v>1</v>
      </c>
      <c r="H19" s="25">
        <v>44</v>
      </c>
      <c r="I19" s="9">
        <v>10473.12656727131</v>
      </c>
      <c r="J19" s="9">
        <v>10473.12656727131</v>
      </c>
      <c r="K19" s="9">
        <v>10473.12656727131</v>
      </c>
      <c r="L19" s="9">
        <v>0</v>
      </c>
      <c r="M19" s="9">
        <v>450344.44239266636</v>
      </c>
      <c r="N19" s="9">
        <v>450344.44239266636</v>
      </c>
      <c r="O19" s="9">
        <v>0</v>
      </c>
      <c r="P19" s="4" t="s">
        <v>258</v>
      </c>
      <c r="Q19" s="4" t="s">
        <v>380</v>
      </c>
    </row>
    <row r="20" spans="1:17" x14ac:dyDescent="0.25">
      <c r="A20" s="19">
        <v>18</v>
      </c>
      <c r="B20" s="24">
        <v>46539</v>
      </c>
      <c r="C20" s="24">
        <v>46568</v>
      </c>
      <c r="D20" s="21">
        <v>450344.44239266636</v>
      </c>
      <c r="E20" s="27" t="s">
        <v>1</v>
      </c>
      <c r="F20" s="26" t="s">
        <v>1</v>
      </c>
      <c r="G20" s="29">
        <v>1</v>
      </c>
      <c r="H20" s="29">
        <v>43</v>
      </c>
      <c r="I20" s="21">
        <v>10473.12656727131</v>
      </c>
      <c r="J20" s="21">
        <v>10473.12656727131</v>
      </c>
      <c r="K20" s="21">
        <v>10473.12656727131</v>
      </c>
      <c r="L20" s="21">
        <v>0</v>
      </c>
      <c r="M20" s="21">
        <v>439871.31582539505</v>
      </c>
      <c r="N20" s="21">
        <v>439871.31582539505</v>
      </c>
      <c r="O20" s="21">
        <v>0</v>
      </c>
      <c r="P20" s="26" t="s">
        <v>260</v>
      </c>
      <c r="Q20" s="26" t="s">
        <v>381</v>
      </c>
    </row>
    <row r="21" spans="1:17" x14ac:dyDescent="0.25">
      <c r="A21" s="22">
        <v>19</v>
      </c>
      <c r="B21" s="23">
        <v>46569</v>
      </c>
      <c r="C21" s="23">
        <v>46599</v>
      </c>
      <c r="D21" s="9">
        <v>439871.31582539505</v>
      </c>
      <c r="E21" s="18" t="s">
        <v>1</v>
      </c>
      <c r="F21" s="4" t="s">
        <v>1</v>
      </c>
      <c r="G21" s="25">
        <v>1</v>
      </c>
      <c r="H21" s="25">
        <v>42</v>
      </c>
      <c r="I21" s="9">
        <v>10473.12656727131</v>
      </c>
      <c r="J21" s="9">
        <v>10473.12656727131</v>
      </c>
      <c r="K21" s="9">
        <v>10473.12656727131</v>
      </c>
      <c r="L21" s="9">
        <v>0</v>
      </c>
      <c r="M21" s="9">
        <v>429398.18925812375</v>
      </c>
      <c r="N21" s="9">
        <v>429398.18925812375</v>
      </c>
      <c r="O21" s="9">
        <v>0</v>
      </c>
      <c r="P21" s="4" t="s">
        <v>262</v>
      </c>
      <c r="Q21" s="4" t="s">
        <v>382</v>
      </c>
    </row>
    <row r="22" spans="1:17" x14ac:dyDescent="0.25">
      <c r="A22" s="19">
        <v>20</v>
      </c>
      <c r="B22" s="24">
        <v>46600</v>
      </c>
      <c r="C22" s="24">
        <v>46630</v>
      </c>
      <c r="D22" s="21">
        <v>429398.18925812375</v>
      </c>
      <c r="E22" s="27" t="s">
        <v>1</v>
      </c>
      <c r="F22" s="26" t="s">
        <v>1</v>
      </c>
      <c r="G22" s="29">
        <v>1</v>
      </c>
      <c r="H22" s="29">
        <v>41</v>
      </c>
      <c r="I22" s="21">
        <v>10473.12656727131</v>
      </c>
      <c r="J22" s="21">
        <v>10473.12656727131</v>
      </c>
      <c r="K22" s="21">
        <v>10473.12656727131</v>
      </c>
      <c r="L22" s="21">
        <v>0</v>
      </c>
      <c r="M22" s="21">
        <v>418925.06269085244</v>
      </c>
      <c r="N22" s="21">
        <v>418925.06269085244</v>
      </c>
      <c r="O22" s="21">
        <v>0</v>
      </c>
      <c r="P22" s="26" t="s">
        <v>264</v>
      </c>
      <c r="Q22" s="26" t="s">
        <v>383</v>
      </c>
    </row>
    <row r="23" spans="1:17" x14ac:dyDescent="0.25">
      <c r="A23" s="22">
        <v>21</v>
      </c>
      <c r="B23" s="23">
        <v>46631</v>
      </c>
      <c r="C23" s="23">
        <v>46660</v>
      </c>
      <c r="D23" s="9">
        <v>418925.06269085244</v>
      </c>
      <c r="E23" s="18" t="s">
        <v>1</v>
      </c>
      <c r="F23" s="4" t="s">
        <v>1</v>
      </c>
      <c r="G23" s="25">
        <v>1</v>
      </c>
      <c r="H23" s="25">
        <v>40</v>
      </c>
      <c r="I23" s="9">
        <v>10473.12656727131</v>
      </c>
      <c r="J23" s="9">
        <v>10473.12656727131</v>
      </c>
      <c r="K23" s="9">
        <v>10473.126567271313</v>
      </c>
      <c r="L23" s="9">
        <v>0</v>
      </c>
      <c r="M23" s="9">
        <v>408451.93612358114</v>
      </c>
      <c r="N23" s="9">
        <v>408451.93612358114</v>
      </c>
      <c r="O23" s="9">
        <v>0</v>
      </c>
      <c r="P23" s="4" t="s">
        <v>266</v>
      </c>
      <c r="Q23" s="4" t="s">
        <v>384</v>
      </c>
    </row>
    <row r="24" spans="1:17" x14ac:dyDescent="0.25">
      <c r="A24" s="19">
        <v>22</v>
      </c>
      <c r="B24" s="24">
        <v>46661</v>
      </c>
      <c r="C24" s="24">
        <v>46691</v>
      </c>
      <c r="D24" s="21">
        <v>408451.93612358114</v>
      </c>
      <c r="E24" s="27" t="s">
        <v>1</v>
      </c>
      <c r="F24" s="26" t="s">
        <v>1</v>
      </c>
      <c r="G24" s="29">
        <v>1</v>
      </c>
      <c r="H24" s="29">
        <v>39</v>
      </c>
      <c r="I24" s="21">
        <v>10473.12656727131</v>
      </c>
      <c r="J24" s="21">
        <v>10473.12656727131</v>
      </c>
      <c r="K24" s="21">
        <v>10473.12656727131</v>
      </c>
      <c r="L24" s="21">
        <v>0</v>
      </c>
      <c r="M24" s="21">
        <v>397978.80955630983</v>
      </c>
      <c r="N24" s="21">
        <v>397978.80955630983</v>
      </c>
      <c r="O24" s="21">
        <v>0</v>
      </c>
      <c r="P24" s="26" t="s">
        <v>268</v>
      </c>
      <c r="Q24" s="26" t="s">
        <v>385</v>
      </c>
    </row>
    <row r="25" spans="1:17" x14ac:dyDescent="0.25">
      <c r="A25" s="22">
        <v>23</v>
      </c>
      <c r="B25" s="23">
        <v>46692</v>
      </c>
      <c r="C25" s="23">
        <v>46721</v>
      </c>
      <c r="D25" s="9">
        <v>397978.80955630983</v>
      </c>
      <c r="E25" s="18" t="s">
        <v>1</v>
      </c>
      <c r="F25" s="4" t="s">
        <v>1</v>
      </c>
      <c r="G25" s="25">
        <v>1</v>
      </c>
      <c r="H25" s="25">
        <v>38</v>
      </c>
      <c r="I25" s="9">
        <v>10473.12656727131</v>
      </c>
      <c r="J25" s="9">
        <v>10473.12656727131</v>
      </c>
      <c r="K25" s="9">
        <v>10473.12656727131</v>
      </c>
      <c r="L25" s="9">
        <v>0</v>
      </c>
      <c r="M25" s="9">
        <v>387505.6829890385</v>
      </c>
      <c r="N25" s="9">
        <v>387505.6829890385</v>
      </c>
      <c r="O25" s="9">
        <v>0</v>
      </c>
      <c r="P25" s="4" t="s">
        <v>270</v>
      </c>
      <c r="Q25" s="4" t="s">
        <v>386</v>
      </c>
    </row>
    <row r="26" spans="1:17" x14ac:dyDescent="0.25">
      <c r="A26" s="19">
        <v>24</v>
      </c>
      <c r="B26" s="24">
        <v>46722</v>
      </c>
      <c r="C26" s="24">
        <v>46752</v>
      </c>
      <c r="D26" s="21">
        <v>387505.6829890385</v>
      </c>
      <c r="E26" s="27" t="s">
        <v>1</v>
      </c>
      <c r="F26" s="26" t="s">
        <v>1</v>
      </c>
      <c r="G26" s="29">
        <v>1</v>
      </c>
      <c r="H26" s="29">
        <v>37</v>
      </c>
      <c r="I26" s="21">
        <v>10473.12656727131</v>
      </c>
      <c r="J26" s="21">
        <v>10473.12656727131</v>
      </c>
      <c r="K26" s="21">
        <v>10473.126567271313</v>
      </c>
      <c r="L26" s="21">
        <v>0</v>
      </c>
      <c r="M26" s="21">
        <v>377032.5564217672</v>
      </c>
      <c r="N26" s="21">
        <v>377032.5564217672</v>
      </c>
      <c r="O26" s="21">
        <v>0</v>
      </c>
      <c r="P26" s="26" t="s">
        <v>272</v>
      </c>
      <c r="Q26" s="26" t="s">
        <v>387</v>
      </c>
    </row>
    <row r="27" spans="1:17" x14ac:dyDescent="0.25">
      <c r="A27" s="22">
        <v>25</v>
      </c>
      <c r="B27" s="23">
        <v>46753</v>
      </c>
      <c r="C27" s="23">
        <v>46783</v>
      </c>
      <c r="D27" s="9">
        <v>389684.956122366</v>
      </c>
      <c r="E27" s="9">
        <v>12652.4</v>
      </c>
      <c r="F27" s="4" t="s">
        <v>274</v>
      </c>
      <c r="G27" s="25">
        <v>1</v>
      </c>
      <c r="H27" s="25">
        <v>36</v>
      </c>
      <c r="I27" s="9">
        <v>10824.582114510167</v>
      </c>
      <c r="J27" s="9">
        <v>10824.582114510167</v>
      </c>
      <c r="K27" s="9">
        <v>10824.582114510167</v>
      </c>
      <c r="L27" s="9">
        <v>0</v>
      </c>
      <c r="M27" s="9">
        <v>378860.37400785583</v>
      </c>
      <c r="N27" s="9">
        <v>378860.37400785583</v>
      </c>
      <c r="O27" s="9">
        <v>0</v>
      </c>
      <c r="P27" s="4" t="s">
        <v>275</v>
      </c>
      <c r="Q27" s="4" t="s">
        <v>388</v>
      </c>
    </row>
    <row r="28" spans="1:17" x14ac:dyDescent="0.25">
      <c r="A28" s="19">
        <v>26</v>
      </c>
      <c r="B28" s="24">
        <v>46784</v>
      </c>
      <c r="C28" s="24">
        <v>46812</v>
      </c>
      <c r="D28" s="21">
        <v>378860.37400785583</v>
      </c>
      <c r="E28" s="27" t="s">
        <v>1</v>
      </c>
      <c r="F28" s="26" t="s">
        <v>1</v>
      </c>
      <c r="G28" s="29">
        <v>1</v>
      </c>
      <c r="H28" s="29">
        <v>35</v>
      </c>
      <c r="I28" s="21">
        <v>10824.582114510167</v>
      </c>
      <c r="J28" s="21">
        <v>10824.582114510167</v>
      </c>
      <c r="K28" s="21">
        <v>10824.582114510165</v>
      </c>
      <c r="L28" s="21">
        <v>0</v>
      </c>
      <c r="M28" s="21">
        <v>368035.79189334565</v>
      </c>
      <c r="N28" s="21">
        <v>368035.79189334565</v>
      </c>
      <c r="O28" s="21">
        <v>0</v>
      </c>
      <c r="P28" s="26" t="s">
        <v>278</v>
      </c>
      <c r="Q28" s="26" t="s">
        <v>389</v>
      </c>
    </row>
    <row r="29" spans="1:17" x14ac:dyDescent="0.25">
      <c r="A29" s="22">
        <v>27</v>
      </c>
      <c r="B29" s="23">
        <v>46813</v>
      </c>
      <c r="C29" s="23">
        <v>46843</v>
      </c>
      <c r="D29" s="9">
        <v>368035.79189334565</v>
      </c>
      <c r="E29" s="18" t="s">
        <v>1</v>
      </c>
      <c r="F29" s="4" t="s">
        <v>1</v>
      </c>
      <c r="G29" s="25">
        <v>1</v>
      </c>
      <c r="H29" s="25">
        <v>34</v>
      </c>
      <c r="I29" s="9">
        <v>10824.582114510165</v>
      </c>
      <c r="J29" s="9">
        <v>10824.582114510165</v>
      </c>
      <c r="K29" s="9">
        <v>10824.582114510165</v>
      </c>
      <c r="L29" s="9">
        <v>0</v>
      </c>
      <c r="M29" s="9">
        <v>357211.2097788355</v>
      </c>
      <c r="N29" s="9">
        <v>357211.2097788355</v>
      </c>
      <c r="O29" s="9">
        <v>0</v>
      </c>
      <c r="P29" s="4" t="s">
        <v>280</v>
      </c>
      <c r="Q29" s="4" t="s">
        <v>390</v>
      </c>
    </row>
    <row r="30" spans="1:17" x14ac:dyDescent="0.25">
      <c r="A30" s="19">
        <v>28</v>
      </c>
      <c r="B30" s="24">
        <v>46844</v>
      </c>
      <c r="C30" s="24">
        <v>46873</v>
      </c>
      <c r="D30" s="21">
        <v>357211.2097788355</v>
      </c>
      <c r="E30" s="27" t="s">
        <v>1</v>
      </c>
      <c r="F30" s="26" t="s">
        <v>1</v>
      </c>
      <c r="G30" s="29">
        <v>1</v>
      </c>
      <c r="H30" s="29">
        <v>33</v>
      </c>
      <c r="I30" s="21">
        <v>10824.582114510165</v>
      </c>
      <c r="J30" s="21">
        <v>10824.582114510165</v>
      </c>
      <c r="K30" s="21">
        <v>10824.582114510165</v>
      </c>
      <c r="L30" s="21">
        <v>0</v>
      </c>
      <c r="M30" s="21">
        <v>346386.6276643253</v>
      </c>
      <c r="N30" s="21">
        <v>346386.6276643253</v>
      </c>
      <c r="O30" s="21">
        <v>0</v>
      </c>
      <c r="P30" s="26" t="s">
        <v>282</v>
      </c>
      <c r="Q30" s="26" t="s">
        <v>391</v>
      </c>
    </row>
    <row r="31" spans="1:17" x14ac:dyDescent="0.25">
      <c r="A31" s="22">
        <v>29</v>
      </c>
      <c r="B31" s="23">
        <v>46874</v>
      </c>
      <c r="C31" s="23">
        <v>46904</v>
      </c>
      <c r="D31" s="9">
        <v>346386.6276643253</v>
      </c>
      <c r="E31" s="18" t="s">
        <v>1</v>
      </c>
      <c r="F31" s="4" t="s">
        <v>1</v>
      </c>
      <c r="G31" s="25">
        <v>1</v>
      </c>
      <c r="H31" s="25">
        <v>32</v>
      </c>
      <c r="I31" s="9">
        <v>10824.582114510165</v>
      </c>
      <c r="J31" s="9">
        <v>10824.582114510165</v>
      </c>
      <c r="K31" s="9">
        <v>10824.582114510165</v>
      </c>
      <c r="L31" s="9">
        <v>0</v>
      </c>
      <c r="M31" s="9">
        <v>335562.0455498151</v>
      </c>
      <c r="N31" s="9">
        <v>335562.0455498151</v>
      </c>
      <c r="O31" s="9">
        <v>0</v>
      </c>
      <c r="P31" s="4" t="s">
        <v>284</v>
      </c>
      <c r="Q31" s="4" t="s">
        <v>392</v>
      </c>
    </row>
    <row r="32" spans="1:17" x14ac:dyDescent="0.25">
      <c r="A32" s="19">
        <v>30</v>
      </c>
      <c r="B32" s="24">
        <v>46905</v>
      </c>
      <c r="C32" s="24">
        <v>46934</v>
      </c>
      <c r="D32" s="21">
        <v>335562.0455498151</v>
      </c>
      <c r="E32" s="27" t="s">
        <v>1</v>
      </c>
      <c r="F32" s="26" t="s">
        <v>1</v>
      </c>
      <c r="G32" s="29">
        <v>1</v>
      </c>
      <c r="H32" s="29">
        <v>31</v>
      </c>
      <c r="I32" s="21">
        <v>10824.582114510165</v>
      </c>
      <c r="J32" s="21">
        <v>10824.582114510165</v>
      </c>
      <c r="K32" s="21">
        <v>10824.582114510165</v>
      </c>
      <c r="L32" s="21">
        <v>0</v>
      </c>
      <c r="M32" s="21">
        <v>324737.46343530493</v>
      </c>
      <c r="N32" s="21">
        <v>324737.46343530493</v>
      </c>
      <c r="O32" s="21">
        <v>0</v>
      </c>
      <c r="P32" s="26" t="s">
        <v>286</v>
      </c>
      <c r="Q32" s="26" t="s">
        <v>393</v>
      </c>
    </row>
    <row r="33" spans="1:17" x14ac:dyDescent="0.25">
      <c r="A33" s="22">
        <v>31</v>
      </c>
      <c r="B33" s="23">
        <v>46935</v>
      </c>
      <c r="C33" s="23">
        <v>46965</v>
      </c>
      <c r="D33" s="9">
        <v>324737.46343530493</v>
      </c>
      <c r="E33" s="18" t="s">
        <v>1</v>
      </c>
      <c r="F33" s="4" t="s">
        <v>1</v>
      </c>
      <c r="G33" s="25">
        <v>1</v>
      </c>
      <c r="H33" s="25">
        <v>30</v>
      </c>
      <c r="I33" s="9">
        <v>10824.582114510164</v>
      </c>
      <c r="J33" s="9">
        <v>10824.582114510164</v>
      </c>
      <c r="K33" s="9">
        <v>10824.582114510164</v>
      </c>
      <c r="L33" s="9">
        <v>0</v>
      </c>
      <c r="M33" s="9">
        <v>313912.88132079475</v>
      </c>
      <c r="N33" s="9">
        <v>313912.88132079475</v>
      </c>
      <c r="O33" s="9">
        <v>0</v>
      </c>
      <c r="P33" s="4" t="s">
        <v>288</v>
      </c>
      <c r="Q33" s="4" t="s">
        <v>394</v>
      </c>
    </row>
    <row r="34" spans="1:17" x14ac:dyDescent="0.25">
      <c r="A34" s="19">
        <v>32</v>
      </c>
      <c r="B34" s="24">
        <v>46966</v>
      </c>
      <c r="C34" s="24">
        <v>46996</v>
      </c>
      <c r="D34" s="21">
        <v>313912.88132079475</v>
      </c>
      <c r="E34" s="27" t="s">
        <v>1</v>
      </c>
      <c r="F34" s="26" t="s">
        <v>1</v>
      </c>
      <c r="G34" s="29">
        <v>1</v>
      </c>
      <c r="H34" s="29">
        <v>29</v>
      </c>
      <c r="I34" s="21">
        <v>10824.582114510164</v>
      </c>
      <c r="J34" s="21">
        <v>10824.582114510164</v>
      </c>
      <c r="K34" s="21">
        <v>10824.582114510164</v>
      </c>
      <c r="L34" s="21">
        <v>0</v>
      </c>
      <c r="M34" s="21">
        <v>303088.2992062846</v>
      </c>
      <c r="N34" s="21">
        <v>303088.2992062846</v>
      </c>
      <c r="O34" s="21">
        <v>0</v>
      </c>
      <c r="P34" s="26" t="s">
        <v>290</v>
      </c>
      <c r="Q34" s="26" t="s">
        <v>395</v>
      </c>
    </row>
    <row r="35" spans="1:17" x14ac:dyDescent="0.25">
      <c r="A35" s="22">
        <v>33</v>
      </c>
      <c r="B35" s="23">
        <v>46997</v>
      </c>
      <c r="C35" s="23">
        <v>47026</v>
      </c>
      <c r="D35" s="9">
        <v>303088.2992062846</v>
      </c>
      <c r="E35" s="18" t="s">
        <v>1</v>
      </c>
      <c r="F35" s="4" t="s">
        <v>1</v>
      </c>
      <c r="G35" s="25">
        <v>1</v>
      </c>
      <c r="H35" s="25">
        <v>28</v>
      </c>
      <c r="I35" s="9">
        <v>10824.582114510164</v>
      </c>
      <c r="J35" s="9">
        <v>10824.582114510164</v>
      </c>
      <c r="K35" s="9">
        <v>10824.582114510164</v>
      </c>
      <c r="L35" s="9">
        <v>0</v>
      </c>
      <c r="M35" s="9">
        <v>292263.7170917744</v>
      </c>
      <c r="N35" s="9">
        <v>292263.7170917744</v>
      </c>
      <c r="O35" s="9">
        <v>0</v>
      </c>
      <c r="P35" s="4" t="s">
        <v>292</v>
      </c>
      <c r="Q35" s="4" t="s">
        <v>396</v>
      </c>
    </row>
    <row r="36" spans="1:17" x14ac:dyDescent="0.25">
      <c r="A36" s="19">
        <v>34</v>
      </c>
      <c r="B36" s="24">
        <v>47027</v>
      </c>
      <c r="C36" s="24">
        <v>47057</v>
      </c>
      <c r="D36" s="21">
        <v>292263.7170917744</v>
      </c>
      <c r="E36" s="27" t="s">
        <v>1</v>
      </c>
      <c r="F36" s="26" t="s">
        <v>1</v>
      </c>
      <c r="G36" s="29">
        <v>1</v>
      </c>
      <c r="H36" s="29">
        <v>27</v>
      </c>
      <c r="I36" s="21">
        <v>10824.582114510164</v>
      </c>
      <c r="J36" s="21">
        <v>10824.582114510164</v>
      </c>
      <c r="K36" s="21">
        <v>10824.582114510162</v>
      </c>
      <c r="L36" s="21">
        <v>0</v>
      </c>
      <c r="M36" s="21">
        <v>281439.1349772642</v>
      </c>
      <c r="N36" s="21">
        <v>281439.1349772642</v>
      </c>
      <c r="O36" s="21">
        <v>0</v>
      </c>
      <c r="P36" s="26" t="s">
        <v>294</v>
      </c>
      <c r="Q36" s="26" t="s">
        <v>397</v>
      </c>
    </row>
    <row r="37" spans="1:17" x14ac:dyDescent="0.25">
      <c r="A37" s="22">
        <v>35</v>
      </c>
      <c r="B37" s="23">
        <v>47058</v>
      </c>
      <c r="C37" s="23">
        <v>47087</v>
      </c>
      <c r="D37" s="9">
        <v>281439.1349772642</v>
      </c>
      <c r="E37" s="18" t="s">
        <v>1</v>
      </c>
      <c r="F37" s="4" t="s">
        <v>1</v>
      </c>
      <c r="G37" s="25">
        <v>1</v>
      </c>
      <c r="H37" s="25">
        <v>26</v>
      </c>
      <c r="I37" s="9">
        <v>10824.582114510162</v>
      </c>
      <c r="J37" s="9">
        <v>10824.582114510162</v>
      </c>
      <c r="K37" s="9">
        <v>10824.582114510162</v>
      </c>
      <c r="L37" s="9">
        <v>0</v>
      </c>
      <c r="M37" s="9">
        <v>270614.55286275403</v>
      </c>
      <c r="N37" s="9">
        <v>270614.55286275403</v>
      </c>
      <c r="O37" s="9">
        <v>0</v>
      </c>
      <c r="P37" s="4" t="s">
        <v>296</v>
      </c>
      <c r="Q37" s="4" t="s">
        <v>398</v>
      </c>
    </row>
    <row r="38" spans="1:17" x14ac:dyDescent="0.25">
      <c r="A38" s="19">
        <v>36</v>
      </c>
      <c r="B38" s="24">
        <v>47088</v>
      </c>
      <c r="C38" s="24">
        <v>47118</v>
      </c>
      <c r="D38" s="21">
        <v>270614.55286275403</v>
      </c>
      <c r="E38" s="27" t="s">
        <v>1</v>
      </c>
      <c r="F38" s="26" t="s">
        <v>1</v>
      </c>
      <c r="G38" s="29">
        <v>1</v>
      </c>
      <c r="H38" s="29">
        <v>25</v>
      </c>
      <c r="I38" s="21">
        <v>10824.582114510162</v>
      </c>
      <c r="J38" s="21">
        <v>10824.582114510162</v>
      </c>
      <c r="K38" s="21">
        <v>10824.582114510162</v>
      </c>
      <c r="L38" s="21">
        <v>0</v>
      </c>
      <c r="M38" s="21">
        <v>259789.97074824388</v>
      </c>
      <c r="N38" s="21">
        <v>259789.97074824388</v>
      </c>
      <c r="O38" s="21">
        <v>0</v>
      </c>
      <c r="P38" s="26" t="s">
        <v>298</v>
      </c>
      <c r="Q38" s="26" t="s">
        <v>399</v>
      </c>
    </row>
    <row r="39" spans="1:17" x14ac:dyDescent="0.25">
      <c r="A39" s="22">
        <v>37</v>
      </c>
      <c r="B39" s="23">
        <v>47119</v>
      </c>
      <c r="C39" s="23">
        <v>47149</v>
      </c>
      <c r="D39" s="9">
        <v>268739.3199475141</v>
      </c>
      <c r="E39" s="9">
        <v>8949.35</v>
      </c>
      <c r="F39" s="4" t="s">
        <v>300</v>
      </c>
      <c r="G39" s="25">
        <v>1</v>
      </c>
      <c r="H39" s="25">
        <v>24</v>
      </c>
      <c r="I39" s="9">
        <v>11197.471664479754</v>
      </c>
      <c r="J39" s="9">
        <v>11197.471664479754</v>
      </c>
      <c r="K39" s="9">
        <v>11197.471664479754</v>
      </c>
      <c r="L39" s="9">
        <v>0</v>
      </c>
      <c r="M39" s="9">
        <v>257541.84828303434</v>
      </c>
      <c r="N39" s="9">
        <v>257541.84828303434</v>
      </c>
      <c r="O39" s="9">
        <v>0</v>
      </c>
      <c r="P39" s="4" t="s">
        <v>301</v>
      </c>
      <c r="Q39" s="4" t="s">
        <v>400</v>
      </c>
    </row>
    <row r="40" spans="1:17" x14ac:dyDescent="0.25">
      <c r="A40" s="19">
        <v>38</v>
      </c>
      <c r="B40" s="24">
        <v>47150</v>
      </c>
      <c r="C40" s="24">
        <v>47177</v>
      </c>
      <c r="D40" s="21">
        <v>257541.84828303434</v>
      </c>
      <c r="E40" s="27" t="s">
        <v>1</v>
      </c>
      <c r="F40" s="26" t="s">
        <v>1</v>
      </c>
      <c r="G40" s="29">
        <v>1</v>
      </c>
      <c r="H40" s="29">
        <v>23</v>
      </c>
      <c r="I40" s="21">
        <v>11197.471664479754</v>
      </c>
      <c r="J40" s="21">
        <v>11197.471664479754</v>
      </c>
      <c r="K40" s="21">
        <v>11197.471664479754</v>
      </c>
      <c r="L40" s="21">
        <v>0</v>
      </c>
      <c r="M40" s="21">
        <v>246344.37661855458</v>
      </c>
      <c r="N40" s="21">
        <v>246344.37661855458</v>
      </c>
      <c r="O40" s="21">
        <v>0</v>
      </c>
      <c r="P40" s="26" t="s">
        <v>304</v>
      </c>
      <c r="Q40" s="26" t="s">
        <v>401</v>
      </c>
    </row>
    <row r="41" spans="1:17" x14ac:dyDescent="0.25">
      <c r="A41" s="22">
        <v>39</v>
      </c>
      <c r="B41" s="23">
        <v>47178</v>
      </c>
      <c r="C41" s="23">
        <v>47208</v>
      </c>
      <c r="D41" s="9">
        <v>246344.37661855458</v>
      </c>
      <c r="E41" s="18" t="s">
        <v>1</v>
      </c>
      <c r="F41" s="4" t="s">
        <v>1</v>
      </c>
      <c r="G41" s="25">
        <v>1</v>
      </c>
      <c r="H41" s="25">
        <v>22</v>
      </c>
      <c r="I41" s="9">
        <v>11197.471664479754</v>
      </c>
      <c r="J41" s="9">
        <v>11197.471664479754</v>
      </c>
      <c r="K41" s="9">
        <v>11197.471664479754</v>
      </c>
      <c r="L41" s="9">
        <v>0</v>
      </c>
      <c r="M41" s="9">
        <v>235146.90495407482</v>
      </c>
      <c r="N41" s="9">
        <v>235146.90495407482</v>
      </c>
      <c r="O41" s="9">
        <v>0</v>
      </c>
      <c r="P41" s="4" t="s">
        <v>306</v>
      </c>
      <c r="Q41" s="4" t="s">
        <v>402</v>
      </c>
    </row>
    <row r="42" spans="1:17" x14ac:dyDescent="0.25">
      <c r="A42" s="19">
        <v>40</v>
      </c>
      <c r="B42" s="24">
        <v>47209</v>
      </c>
      <c r="C42" s="24">
        <v>47238</v>
      </c>
      <c r="D42" s="21">
        <v>235146.90495407482</v>
      </c>
      <c r="E42" s="27" t="s">
        <v>1</v>
      </c>
      <c r="F42" s="26" t="s">
        <v>1</v>
      </c>
      <c r="G42" s="29">
        <v>1</v>
      </c>
      <c r="H42" s="29">
        <v>21</v>
      </c>
      <c r="I42" s="21">
        <v>11197.471664479754</v>
      </c>
      <c r="J42" s="21">
        <v>11197.471664479754</v>
      </c>
      <c r="K42" s="21">
        <v>11197.471664479754</v>
      </c>
      <c r="L42" s="21">
        <v>0</v>
      </c>
      <c r="M42" s="21">
        <v>223949.43328959506</v>
      </c>
      <c r="N42" s="21">
        <v>223949.43328959506</v>
      </c>
      <c r="O42" s="21">
        <v>0</v>
      </c>
      <c r="P42" s="26" t="s">
        <v>308</v>
      </c>
      <c r="Q42" s="26" t="s">
        <v>403</v>
      </c>
    </row>
    <row r="43" spans="1:17" x14ac:dyDescent="0.25">
      <c r="A43" s="22">
        <v>41</v>
      </c>
      <c r="B43" s="23">
        <v>47239</v>
      </c>
      <c r="C43" s="23">
        <v>47269</v>
      </c>
      <c r="D43" s="9">
        <v>223949.43328959506</v>
      </c>
      <c r="E43" s="18" t="s">
        <v>1</v>
      </c>
      <c r="F43" s="4" t="s">
        <v>1</v>
      </c>
      <c r="G43" s="25">
        <v>1</v>
      </c>
      <c r="H43" s="25">
        <v>20</v>
      </c>
      <c r="I43" s="9">
        <v>11197.471664479754</v>
      </c>
      <c r="J43" s="9">
        <v>11197.471664479754</v>
      </c>
      <c r="K43" s="9">
        <v>11197.471664479754</v>
      </c>
      <c r="L43" s="9">
        <v>0</v>
      </c>
      <c r="M43" s="9">
        <v>212751.9616251153</v>
      </c>
      <c r="N43" s="9">
        <v>212751.9616251153</v>
      </c>
      <c r="O43" s="9">
        <v>0</v>
      </c>
      <c r="P43" s="4" t="s">
        <v>310</v>
      </c>
      <c r="Q43" s="4" t="s">
        <v>404</v>
      </c>
    </row>
    <row r="44" spans="1:17" x14ac:dyDescent="0.25">
      <c r="A44" s="19">
        <v>42</v>
      </c>
      <c r="B44" s="24">
        <v>47270</v>
      </c>
      <c r="C44" s="24">
        <v>47299</v>
      </c>
      <c r="D44" s="21">
        <v>212751.9616251153</v>
      </c>
      <c r="E44" s="27" t="s">
        <v>1</v>
      </c>
      <c r="F44" s="26" t="s">
        <v>1</v>
      </c>
      <c r="G44" s="29">
        <v>1</v>
      </c>
      <c r="H44" s="29">
        <v>19</v>
      </c>
      <c r="I44" s="21">
        <v>11197.471664479754</v>
      </c>
      <c r="J44" s="21">
        <v>11197.471664479754</v>
      </c>
      <c r="K44" s="21">
        <v>11197.471664479752</v>
      </c>
      <c r="L44" s="21">
        <v>0</v>
      </c>
      <c r="M44" s="21">
        <v>201554.48996063555</v>
      </c>
      <c r="N44" s="21">
        <v>201554.48996063555</v>
      </c>
      <c r="O44" s="21">
        <v>0</v>
      </c>
      <c r="P44" s="26" t="s">
        <v>312</v>
      </c>
      <c r="Q44" s="26" t="s">
        <v>405</v>
      </c>
    </row>
    <row r="45" spans="1:17" x14ac:dyDescent="0.25">
      <c r="A45" s="22">
        <v>43</v>
      </c>
      <c r="B45" s="23">
        <v>47300</v>
      </c>
      <c r="C45" s="23">
        <v>47330</v>
      </c>
      <c r="D45" s="9">
        <v>201554.48996063555</v>
      </c>
      <c r="E45" s="18" t="s">
        <v>1</v>
      </c>
      <c r="F45" s="4" t="s">
        <v>1</v>
      </c>
      <c r="G45" s="25">
        <v>1</v>
      </c>
      <c r="H45" s="25">
        <v>18</v>
      </c>
      <c r="I45" s="9">
        <v>11197.471664479752</v>
      </c>
      <c r="J45" s="9">
        <v>11197.471664479752</v>
      </c>
      <c r="K45" s="9">
        <v>11197.471664479752</v>
      </c>
      <c r="L45" s="9">
        <v>0</v>
      </c>
      <c r="M45" s="9">
        <v>190357.0182961558</v>
      </c>
      <c r="N45" s="9">
        <v>190357.0182961558</v>
      </c>
      <c r="O45" s="9">
        <v>0</v>
      </c>
      <c r="P45" s="4" t="s">
        <v>314</v>
      </c>
      <c r="Q45" s="4" t="s">
        <v>406</v>
      </c>
    </row>
    <row r="46" spans="1:17" x14ac:dyDescent="0.25">
      <c r="A46" s="19">
        <v>44</v>
      </c>
      <c r="B46" s="24">
        <v>47331</v>
      </c>
      <c r="C46" s="24">
        <v>47361</v>
      </c>
      <c r="D46" s="21">
        <v>190357.0182961558</v>
      </c>
      <c r="E46" s="27" t="s">
        <v>1</v>
      </c>
      <c r="F46" s="26" t="s">
        <v>1</v>
      </c>
      <c r="G46" s="29">
        <v>1</v>
      </c>
      <c r="H46" s="29">
        <v>17</v>
      </c>
      <c r="I46" s="21">
        <v>11197.471664479752</v>
      </c>
      <c r="J46" s="21">
        <v>11197.471664479752</v>
      </c>
      <c r="K46" s="21">
        <v>11197.471664479752</v>
      </c>
      <c r="L46" s="21">
        <v>0</v>
      </c>
      <c r="M46" s="21">
        <v>179159.54663167603</v>
      </c>
      <c r="N46" s="21">
        <v>179159.54663167603</v>
      </c>
      <c r="O46" s="21">
        <v>0</v>
      </c>
      <c r="P46" s="26" t="s">
        <v>316</v>
      </c>
      <c r="Q46" s="26" t="s">
        <v>407</v>
      </c>
    </row>
    <row r="47" spans="1:17" x14ac:dyDescent="0.25">
      <c r="A47" s="22">
        <v>45</v>
      </c>
      <c r="B47" s="23">
        <v>47362</v>
      </c>
      <c r="C47" s="23">
        <v>47391</v>
      </c>
      <c r="D47" s="9">
        <v>179159.54663167603</v>
      </c>
      <c r="E47" s="18" t="s">
        <v>1</v>
      </c>
      <c r="F47" s="4" t="s">
        <v>1</v>
      </c>
      <c r="G47" s="25">
        <v>1</v>
      </c>
      <c r="H47" s="25">
        <v>16</v>
      </c>
      <c r="I47" s="9">
        <v>11197.471664479752</v>
      </c>
      <c r="J47" s="9">
        <v>11197.471664479752</v>
      </c>
      <c r="K47" s="9">
        <v>11197.471664479752</v>
      </c>
      <c r="L47" s="9">
        <v>0</v>
      </c>
      <c r="M47" s="9">
        <v>167962.07496719627</v>
      </c>
      <c r="N47" s="9">
        <v>167962.07496719627</v>
      </c>
      <c r="O47" s="9">
        <v>0</v>
      </c>
      <c r="P47" s="4" t="s">
        <v>318</v>
      </c>
      <c r="Q47" s="4" t="s">
        <v>408</v>
      </c>
    </row>
    <row r="48" spans="1:17" x14ac:dyDescent="0.25">
      <c r="A48" s="19">
        <v>46</v>
      </c>
      <c r="B48" s="24">
        <v>47392</v>
      </c>
      <c r="C48" s="24">
        <v>47422</v>
      </c>
      <c r="D48" s="21">
        <v>167962.07496719627</v>
      </c>
      <c r="E48" s="27" t="s">
        <v>1</v>
      </c>
      <c r="F48" s="26" t="s">
        <v>1</v>
      </c>
      <c r="G48" s="29">
        <v>1</v>
      </c>
      <c r="H48" s="29">
        <v>15</v>
      </c>
      <c r="I48" s="21">
        <v>11197.471664479752</v>
      </c>
      <c r="J48" s="21">
        <v>11197.471664479752</v>
      </c>
      <c r="K48" s="21">
        <v>11197.471664479752</v>
      </c>
      <c r="L48" s="21">
        <v>0</v>
      </c>
      <c r="M48" s="21">
        <v>156764.6033027165</v>
      </c>
      <c r="N48" s="21">
        <v>156764.6033027165</v>
      </c>
      <c r="O48" s="21">
        <v>0</v>
      </c>
      <c r="P48" s="26" t="s">
        <v>320</v>
      </c>
      <c r="Q48" s="26" t="s">
        <v>409</v>
      </c>
    </row>
    <row r="49" spans="1:17" x14ac:dyDescent="0.25">
      <c r="A49" s="22">
        <v>47</v>
      </c>
      <c r="B49" s="23">
        <v>47423</v>
      </c>
      <c r="C49" s="23">
        <v>47452</v>
      </c>
      <c r="D49" s="9">
        <v>156764.6033027165</v>
      </c>
      <c r="E49" s="18" t="s">
        <v>1</v>
      </c>
      <c r="F49" s="4" t="s">
        <v>1</v>
      </c>
      <c r="G49" s="25">
        <v>1</v>
      </c>
      <c r="H49" s="25">
        <v>14</v>
      </c>
      <c r="I49" s="9">
        <v>11197.47166447975</v>
      </c>
      <c r="J49" s="9">
        <v>11197.47166447975</v>
      </c>
      <c r="K49" s="9">
        <v>11197.47166447975</v>
      </c>
      <c r="L49" s="9">
        <v>0</v>
      </c>
      <c r="M49" s="9">
        <v>145567.13163823675</v>
      </c>
      <c r="N49" s="9">
        <v>145567.13163823675</v>
      </c>
      <c r="O49" s="9">
        <v>0</v>
      </c>
      <c r="P49" s="4" t="s">
        <v>322</v>
      </c>
      <c r="Q49" s="4" t="s">
        <v>410</v>
      </c>
    </row>
    <row r="50" spans="1:17" x14ac:dyDescent="0.25">
      <c r="A50" s="19">
        <v>48</v>
      </c>
      <c r="B50" s="24">
        <v>47453</v>
      </c>
      <c r="C50" s="24">
        <v>47483</v>
      </c>
      <c r="D50" s="21">
        <v>145567.13163823675</v>
      </c>
      <c r="E50" s="27" t="s">
        <v>1</v>
      </c>
      <c r="F50" s="26" t="s">
        <v>1</v>
      </c>
      <c r="G50" s="29">
        <v>1</v>
      </c>
      <c r="H50" s="29">
        <v>13</v>
      </c>
      <c r="I50" s="21">
        <v>11197.47166447975</v>
      </c>
      <c r="J50" s="21">
        <v>11197.47166447975</v>
      </c>
      <c r="K50" s="21">
        <v>11197.47166447975</v>
      </c>
      <c r="L50" s="21">
        <v>0</v>
      </c>
      <c r="M50" s="21">
        <v>134369.659973757</v>
      </c>
      <c r="N50" s="21">
        <v>134369.659973757</v>
      </c>
      <c r="O50" s="21">
        <v>0</v>
      </c>
      <c r="P50" s="26" t="s">
        <v>324</v>
      </c>
      <c r="Q50" s="26" t="s">
        <v>411</v>
      </c>
    </row>
    <row r="51" spans="1:17" x14ac:dyDescent="0.25">
      <c r="A51" s="22">
        <v>49</v>
      </c>
      <c r="B51" s="23">
        <v>47484</v>
      </c>
      <c r="C51" s="23">
        <v>47514</v>
      </c>
      <c r="D51" s="9">
        <v>134369.659973757</v>
      </c>
      <c r="E51" s="18" t="s">
        <v>1</v>
      </c>
      <c r="F51" s="4" t="s">
        <v>1</v>
      </c>
      <c r="G51" s="25">
        <v>1</v>
      </c>
      <c r="H51" s="25">
        <v>12</v>
      </c>
      <c r="I51" s="9">
        <v>11197.47166447975</v>
      </c>
      <c r="J51" s="9">
        <v>11197.47166447975</v>
      </c>
      <c r="K51" s="9">
        <v>11197.471664479748</v>
      </c>
      <c r="L51" s="9">
        <v>0</v>
      </c>
      <c r="M51" s="9">
        <v>123172.18830927725</v>
      </c>
      <c r="N51" s="9">
        <v>123172.18830927725</v>
      </c>
      <c r="O51" s="9">
        <v>0</v>
      </c>
      <c r="P51" s="4" t="s">
        <v>326</v>
      </c>
      <c r="Q51" s="4" t="s">
        <v>412</v>
      </c>
    </row>
    <row r="52" spans="1:17" x14ac:dyDescent="0.25">
      <c r="A52" s="19">
        <v>50</v>
      </c>
      <c r="B52" s="24">
        <v>47515</v>
      </c>
      <c r="C52" s="24">
        <v>47542</v>
      </c>
      <c r="D52" s="21">
        <v>123172.18830927725</v>
      </c>
      <c r="E52" s="27" t="s">
        <v>1</v>
      </c>
      <c r="F52" s="26" t="s">
        <v>1</v>
      </c>
      <c r="G52" s="29">
        <v>1</v>
      </c>
      <c r="H52" s="29">
        <v>11</v>
      </c>
      <c r="I52" s="21">
        <v>11197.47166447975</v>
      </c>
      <c r="J52" s="21">
        <v>11197.47166447975</v>
      </c>
      <c r="K52" s="21">
        <v>11197.47166447975</v>
      </c>
      <c r="L52" s="21">
        <v>0</v>
      </c>
      <c r="M52" s="21">
        <v>111974.7166447975</v>
      </c>
      <c r="N52" s="21">
        <v>111974.7166447975</v>
      </c>
      <c r="O52" s="21">
        <v>0</v>
      </c>
      <c r="P52" s="26" t="s">
        <v>328</v>
      </c>
      <c r="Q52" s="26" t="s">
        <v>413</v>
      </c>
    </row>
    <row r="53" spans="1:17" x14ac:dyDescent="0.25">
      <c r="A53" s="22">
        <v>51</v>
      </c>
      <c r="B53" s="23">
        <v>47543</v>
      </c>
      <c r="C53" s="23">
        <v>47573</v>
      </c>
      <c r="D53" s="9">
        <v>111974.7166447975</v>
      </c>
      <c r="E53" s="18" t="s">
        <v>1</v>
      </c>
      <c r="F53" s="4" t="s">
        <v>1</v>
      </c>
      <c r="G53" s="25">
        <v>1</v>
      </c>
      <c r="H53" s="25">
        <v>10</v>
      </c>
      <c r="I53" s="9">
        <v>11197.47166447975</v>
      </c>
      <c r="J53" s="9">
        <v>11197.47166447975</v>
      </c>
      <c r="K53" s="9">
        <v>11197.471664479752</v>
      </c>
      <c r="L53" s="9">
        <v>0</v>
      </c>
      <c r="M53" s="9">
        <v>100777.24498031776</v>
      </c>
      <c r="N53" s="9">
        <v>100777.24498031774</v>
      </c>
      <c r="O53" s="9">
        <v>0</v>
      </c>
      <c r="P53" s="4" t="s">
        <v>330</v>
      </c>
      <c r="Q53" s="4" t="s">
        <v>414</v>
      </c>
    </row>
    <row r="54" spans="1:17" x14ac:dyDescent="0.25">
      <c r="A54" s="19">
        <v>52</v>
      </c>
      <c r="B54" s="24">
        <v>47574</v>
      </c>
      <c r="C54" s="24">
        <v>47603</v>
      </c>
      <c r="D54" s="21">
        <v>100777.24498031774</v>
      </c>
      <c r="E54" s="27" t="s">
        <v>1</v>
      </c>
      <c r="F54" s="26" t="s">
        <v>1</v>
      </c>
      <c r="G54" s="29">
        <v>1</v>
      </c>
      <c r="H54" s="29">
        <v>9</v>
      </c>
      <c r="I54" s="21">
        <v>11197.47166447975</v>
      </c>
      <c r="J54" s="21">
        <v>11197.47166447975</v>
      </c>
      <c r="K54" s="21">
        <v>11197.471664479748</v>
      </c>
      <c r="L54" s="21">
        <v>0</v>
      </c>
      <c r="M54" s="21">
        <v>89579.773315838</v>
      </c>
      <c r="N54" s="21">
        <v>89579.773315838</v>
      </c>
      <c r="O54" s="21">
        <v>0</v>
      </c>
      <c r="P54" s="26" t="s">
        <v>332</v>
      </c>
      <c r="Q54" s="26" t="s">
        <v>415</v>
      </c>
    </row>
    <row r="55" spans="1:17" x14ac:dyDescent="0.25">
      <c r="A55" s="22">
        <v>53</v>
      </c>
      <c r="B55" s="23">
        <v>47604</v>
      </c>
      <c r="C55" s="23">
        <v>47634</v>
      </c>
      <c r="D55" s="9">
        <v>89579.773315838</v>
      </c>
      <c r="E55" s="18" t="s">
        <v>1</v>
      </c>
      <c r="F55" s="4" t="s">
        <v>1</v>
      </c>
      <c r="G55" s="25">
        <v>1</v>
      </c>
      <c r="H55" s="25">
        <v>8</v>
      </c>
      <c r="I55" s="9">
        <v>11197.47166447975</v>
      </c>
      <c r="J55" s="9">
        <v>11197.47166447975</v>
      </c>
      <c r="K55" s="9">
        <v>11197.47166447975</v>
      </c>
      <c r="L55" s="9">
        <v>0</v>
      </c>
      <c r="M55" s="9">
        <v>78382.30165135826</v>
      </c>
      <c r="N55" s="9">
        <v>78382.30165135826</v>
      </c>
      <c r="O55" s="9">
        <v>0</v>
      </c>
      <c r="P55" s="4" t="s">
        <v>334</v>
      </c>
      <c r="Q55" s="4" t="s">
        <v>416</v>
      </c>
    </row>
    <row r="56" spans="1:17" x14ac:dyDescent="0.25">
      <c r="A56" s="19">
        <v>54</v>
      </c>
      <c r="B56" s="24">
        <v>47635</v>
      </c>
      <c r="C56" s="24">
        <v>47664</v>
      </c>
      <c r="D56" s="21">
        <v>78382.30165135826</v>
      </c>
      <c r="E56" s="27" t="s">
        <v>1</v>
      </c>
      <c r="F56" s="26" t="s">
        <v>1</v>
      </c>
      <c r="G56" s="29">
        <v>1</v>
      </c>
      <c r="H56" s="29">
        <v>7</v>
      </c>
      <c r="I56" s="21">
        <v>11197.47166447975</v>
      </c>
      <c r="J56" s="21">
        <v>11197.47166447975</v>
      </c>
      <c r="K56" s="21">
        <v>11197.47166447975</v>
      </c>
      <c r="L56" s="21">
        <v>0</v>
      </c>
      <c r="M56" s="21">
        <v>67184.82998687851</v>
      </c>
      <c r="N56" s="21">
        <v>67184.82998687851</v>
      </c>
      <c r="O56" s="21">
        <v>0</v>
      </c>
      <c r="P56" s="26" t="s">
        <v>336</v>
      </c>
      <c r="Q56" s="26" t="s">
        <v>417</v>
      </c>
    </row>
    <row r="57" spans="1:17" x14ac:dyDescent="0.25">
      <c r="A57" s="22">
        <v>55</v>
      </c>
      <c r="B57" s="23">
        <v>47665</v>
      </c>
      <c r="C57" s="23">
        <v>47695</v>
      </c>
      <c r="D57" s="9">
        <v>67184.82998687851</v>
      </c>
      <c r="E57" s="18" t="s">
        <v>1</v>
      </c>
      <c r="F57" s="4" t="s">
        <v>1</v>
      </c>
      <c r="G57" s="25">
        <v>1</v>
      </c>
      <c r="H57" s="25">
        <v>6</v>
      </c>
      <c r="I57" s="9">
        <v>11197.471664479752</v>
      </c>
      <c r="J57" s="9">
        <v>11197.471664479752</v>
      </c>
      <c r="K57" s="9">
        <v>11197.471664479752</v>
      </c>
      <c r="L57" s="9">
        <v>0</v>
      </c>
      <c r="M57" s="9">
        <v>55987.35832239876</v>
      </c>
      <c r="N57" s="9">
        <v>55987.35832239876</v>
      </c>
      <c r="O57" s="9">
        <v>0</v>
      </c>
      <c r="P57" s="4" t="s">
        <v>338</v>
      </c>
      <c r="Q57" s="4" t="s">
        <v>418</v>
      </c>
    </row>
    <row r="58" spans="1:17" x14ac:dyDescent="0.25">
      <c r="A58" s="19">
        <v>56</v>
      </c>
      <c r="B58" s="24">
        <v>47696</v>
      </c>
      <c r="C58" s="24">
        <v>47726</v>
      </c>
      <c r="D58" s="21">
        <v>55987.35832239876</v>
      </c>
      <c r="E58" s="27" t="s">
        <v>1</v>
      </c>
      <c r="F58" s="26" t="s">
        <v>1</v>
      </c>
      <c r="G58" s="29">
        <v>1</v>
      </c>
      <c r="H58" s="29">
        <v>5</v>
      </c>
      <c r="I58" s="21">
        <v>11197.471664479752</v>
      </c>
      <c r="J58" s="21">
        <v>11197.471664479752</v>
      </c>
      <c r="K58" s="21">
        <v>11197.471664479752</v>
      </c>
      <c r="L58" s="21">
        <v>0</v>
      </c>
      <c r="M58" s="21">
        <v>44789.88665791901</v>
      </c>
      <c r="N58" s="21">
        <v>44789.88665791901</v>
      </c>
      <c r="O58" s="21">
        <v>0</v>
      </c>
      <c r="P58" s="26" t="s">
        <v>340</v>
      </c>
      <c r="Q58" s="26" t="s">
        <v>419</v>
      </c>
    </row>
    <row r="59" spans="1:17" x14ac:dyDescent="0.25">
      <c r="A59" s="22">
        <v>57</v>
      </c>
      <c r="B59" s="23">
        <v>47727</v>
      </c>
      <c r="C59" s="23">
        <v>47756</v>
      </c>
      <c r="D59" s="9">
        <v>44789.88665791901</v>
      </c>
      <c r="E59" s="18" t="s">
        <v>1</v>
      </c>
      <c r="F59" s="4" t="s">
        <v>1</v>
      </c>
      <c r="G59" s="25">
        <v>1</v>
      </c>
      <c r="H59" s="25">
        <v>4</v>
      </c>
      <c r="I59" s="9">
        <v>11197.471664479752</v>
      </c>
      <c r="J59" s="9">
        <v>11197.471664479752</v>
      </c>
      <c r="K59" s="9">
        <v>11197.471664479752</v>
      </c>
      <c r="L59" s="9">
        <v>0</v>
      </c>
      <c r="M59" s="9">
        <v>33592.414993439255</v>
      </c>
      <c r="N59" s="9">
        <v>33592.414993439255</v>
      </c>
      <c r="O59" s="9">
        <v>0</v>
      </c>
      <c r="P59" s="4" t="s">
        <v>342</v>
      </c>
      <c r="Q59" s="4" t="s">
        <v>420</v>
      </c>
    </row>
    <row r="60" spans="1:17" x14ac:dyDescent="0.25">
      <c r="A60" s="19">
        <v>58</v>
      </c>
      <c r="B60" s="24">
        <v>47757</v>
      </c>
      <c r="C60" s="24">
        <v>47787</v>
      </c>
      <c r="D60" s="21">
        <v>33592.414993439255</v>
      </c>
      <c r="E60" s="27" t="s">
        <v>1</v>
      </c>
      <c r="F60" s="26" t="s">
        <v>1</v>
      </c>
      <c r="G60" s="29">
        <v>1</v>
      </c>
      <c r="H60" s="29">
        <v>3</v>
      </c>
      <c r="I60" s="21">
        <v>11197.471664479752</v>
      </c>
      <c r="J60" s="21">
        <v>11197.471664479752</v>
      </c>
      <c r="K60" s="21">
        <v>11197.471664479752</v>
      </c>
      <c r="L60" s="21">
        <v>0</v>
      </c>
      <c r="M60" s="21">
        <v>22394.943328959504</v>
      </c>
      <c r="N60" s="21">
        <v>22394.943328959504</v>
      </c>
      <c r="O60" s="21">
        <v>0</v>
      </c>
      <c r="P60" s="26" t="s">
        <v>344</v>
      </c>
      <c r="Q60" s="26" t="s">
        <v>421</v>
      </c>
    </row>
    <row r="61" spans="1:17" x14ac:dyDescent="0.25">
      <c r="A61" s="22">
        <v>59</v>
      </c>
      <c r="B61" s="23">
        <v>47788</v>
      </c>
      <c r="C61" s="23">
        <v>47817</v>
      </c>
      <c r="D61" s="9">
        <v>22394.943328959504</v>
      </c>
      <c r="E61" s="18" t="s">
        <v>1</v>
      </c>
      <c r="F61" s="4" t="s">
        <v>1</v>
      </c>
      <c r="G61" s="25">
        <v>1</v>
      </c>
      <c r="H61" s="25">
        <v>2</v>
      </c>
      <c r="I61" s="9">
        <v>11197.471664479752</v>
      </c>
      <c r="J61" s="9">
        <v>11197.471664479752</v>
      </c>
      <c r="K61" s="9">
        <v>11197.471664479752</v>
      </c>
      <c r="L61" s="9">
        <v>0</v>
      </c>
      <c r="M61" s="9">
        <v>11197.471664479752</v>
      </c>
      <c r="N61" s="9">
        <v>11197.471664479752</v>
      </c>
      <c r="O61" s="9">
        <v>0</v>
      </c>
      <c r="P61" s="4" t="s">
        <v>346</v>
      </c>
      <c r="Q61" s="4" t="s">
        <v>422</v>
      </c>
    </row>
    <row r="62" spans="1:17" x14ac:dyDescent="0.25">
      <c r="A62" s="19">
        <v>60</v>
      </c>
      <c r="B62" s="24">
        <v>47818</v>
      </c>
      <c r="C62" s="24">
        <v>47848</v>
      </c>
      <c r="D62" s="21">
        <v>11197.471664479752</v>
      </c>
      <c r="E62" s="27" t="s">
        <v>1</v>
      </c>
      <c r="F62" s="26" t="s">
        <v>1</v>
      </c>
      <c r="G62" s="29">
        <v>1</v>
      </c>
      <c r="H62" s="29">
        <v>1</v>
      </c>
      <c r="I62" s="21">
        <v>11197.471664479752</v>
      </c>
      <c r="J62" s="21">
        <v>11197.471664479752</v>
      </c>
      <c r="K62" s="21">
        <v>11197.471664479752</v>
      </c>
      <c r="L62" s="21">
        <v>0</v>
      </c>
      <c r="M62" s="21">
        <v>0</v>
      </c>
      <c r="N62" s="21">
        <v>0</v>
      </c>
      <c r="O62" s="21">
        <v>0</v>
      </c>
      <c r="P62" s="26" t="s">
        <v>348</v>
      </c>
      <c r="Q62" s="26" t="s">
        <v>423</v>
      </c>
    </row>
  </sheetData>
  <autoFilter ref="A2:Q62"/>
  <pageMargins left="0.35" right="0.35" top="0.55" bottom="0.55" header="0.2" footer="0.2"/>
  <pageSetup orientation="landscape" horizontalDpi="4294967295" verticalDpi="4294967295" scale="100"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T124"/>
  <sheetViews>
    <sheetView workbookViewId="0" showGridLines="0"/>
  </sheetViews>
  <sheetFormatPr defaultRowHeight="20" outlineLevelRow="0" outlineLevelCol="0" x14ac:dyDescent="55" customHeight="1"/>
  <cols>
    <col min="1" max="1" width="18" customWidth="1"/>
    <col min="2" max="2" width="12" customWidth="1"/>
    <col min="3" max="3" width="21" customWidth="1"/>
    <col min="4" max="4" width="60" customWidth="1"/>
    <col min="5" max="8" width="18" customWidth="1"/>
    <col min="9" max="9" width="31" customWidth="1"/>
    <col min="10" max="10" width="18" customWidth="1"/>
    <col min="11" max="11" width="36" customWidth="1"/>
    <col min="12" max="12" width="18" customWidth="1"/>
    <col min="13" max="13" width="14" customWidth="1"/>
    <col min="14" max="14" width="36" customWidth="1"/>
    <col min="15" max="18" width="18" customWidth="1"/>
    <col min="19" max="19" width="12" customWidth="1"/>
    <col min="20" max="20" width="18" customWidth="1"/>
  </cols>
  <sheetData>
    <row r="1" ht="30" customHeight="1" spans="1:20" x14ac:dyDescent="0.25">
      <c r="A1" s="1" t="s">
        <v>424</v>
      </c>
      <c r="B1" s="2"/>
      <c r="C1" s="2"/>
      <c r="D1" s="2"/>
      <c r="E1" s="2"/>
      <c r="F1" s="2"/>
      <c r="G1" s="2"/>
      <c r="H1" s="2"/>
      <c r="I1" s="2"/>
      <c r="J1" s="2"/>
      <c r="K1" s="2"/>
      <c r="L1" s="2"/>
      <c r="M1" s="2"/>
      <c r="N1" s="2"/>
      <c r="O1" s="2"/>
      <c r="P1" s="2"/>
      <c r="Q1" s="2"/>
      <c r="R1" s="2"/>
      <c r="S1" s="2"/>
      <c r="T1" s="2"/>
    </row>
    <row r="2" spans="1:20" x14ac:dyDescent="0.25">
      <c r="A2" s="10" t="s">
        <v>425</v>
      </c>
      <c r="B2" s="11" t="s">
        <v>426</v>
      </c>
      <c r="C2" s="10" t="s">
        <v>427</v>
      </c>
      <c r="D2" s="10" t="s">
        <v>428</v>
      </c>
      <c r="E2" s="17" t="s">
        <v>429</v>
      </c>
      <c r="F2" s="17" t="s">
        <v>430</v>
      </c>
      <c r="G2" s="17" t="s">
        <v>431</v>
      </c>
      <c r="H2" s="17" t="s">
        <v>432</v>
      </c>
      <c r="I2" s="10" t="s">
        <v>433</v>
      </c>
      <c r="J2" s="17" t="s">
        <v>434</v>
      </c>
      <c r="K2" s="10" t="s">
        <v>435</v>
      </c>
      <c r="L2" s="17" t="s">
        <v>436</v>
      </c>
      <c r="M2" s="17" t="s">
        <v>437</v>
      </c>
      <c r="N2" s="10" t="s">
        <v>438</v>
      </c>
      <c r="O2" s="17" t="s">
        <v>439</v>
      </c>
      <c r="P2" s="17" t="s">
        <v>440</v>
      </c>
      <c r="Q2" s="17" t="s">
        <v>441</v>
      </c>
      <c r="R2" s="17" t="s">
        <v>442</v>
      </c>
      <c r="S2" s="17" t="s">
        <v>443</v>
      </c>
      <c r="T2" s="17" t="s">
        <v>444</v>
      </c>
    </row>
    <row r="3" spans="1:20" x14ac:dyDescent="0.25">
      <c r="A3" s="24">
        <v>46023</v>
      </c>
      <c r="B3" s="30">
        <v>0</v>
      </c>
      <c r="C3" s="26" t="s">
        <v>445</v>
      </c>
      <c r="D3" s="26" t="s">
        <v>446</v>
      </c>
      <c r="E3" s="21">
        <v>602759.9605104219</v>
      </c>
      <c r="F3" s="21">
        <v>0</v>
      </c>
      <c r="G3" s="21">
        <v>0</v>
      </c>
      <c r="H3" s="21">
        <v>0</v>
      </c>
      <c r="I3" s="21">
        <v>0</v>
      </c>
      <c r="J3" s="21">
        <v>0</v>
      </c>
      <c r="K3" s="21">
        <v>0</v>
      </c>
      <c r="L3" s="21">
        <v>0</v>
      </c>
      <c r="M3" s="21">
        <v>0</v>
      </c>
      <c r="N3" s="21">
        <v>0</v>
      </c>
      <c r="O3" s="21">
        <v>3500</v>
      </c>
      <c r="P3" s="21">
        <v>0</v>
      </c>
      <c r="Q3" s="21">
        <v>599259.9605104219</v>
      </c>
      <c r="R3" s="21">
        <v>0</v>
      </c>
      <c r="S3" s="21">
        <v>0</v>
      </c>
      <c r="T3" s="21">
        <v>0</v>
      </c>
    </row>
    <row r="4" spans="1:20" x14ac:dyDescent="0.25">
      <c r="A4" s="23">
        <v>46053</v>
      </c>
      <c r="B4" s="31">
        <v>1</v>
      </c>
      <c r="C4" s="4" t="s">
        <v>447</v>
      </c>
      <c r="D4" s="4" t="s">
        <v>448</v>
      </c>
      <c r="E4" s="9">
        <v>0</v>
      </c>
      <c r="F4" s="9">
        <v>10045.999341840365</v>
      </c>
      <c r="G4" s="9">
        <v>2916.9281595699567</v>
      </c>
      <c r="H4" s="9">
        <v>0</v>
      </c>
      <c r="I4" s="9">
        <v>0</v>
      </c>
      <c r="J4" s="9">
        <v>0</v>
      </c>
      <c r="K4" s="9">
        <v>0</v>
      </c>
      <c r="L4" s="9">
        <v>0</v>
      </c>
      <c r="M4" s="9">
        <v>0</v>
      </c>
      <c r="N4" s="9">
        <v>0</v>
      </c>
      <c r="O4" s="9">
        <v>0</v>
      </c>
      <c r="P4" s="9">
        <v>10045.999341840365</v>
      </c>
      <c r="Q4" s="9">
        <v>2916.9281595699567</v>
      </c>
      <c r="R4" s="9">
        <v>0</v>
      </c>
      <c r="S4" s="9">
        <v>0</v>
      </c>
      <c r="T4" s="9">
        <v>0</v>
      </c>
    </row>
    <row r="5" spans="1:20" x14ac:dyDescent="0.25">
      <c r="A5" s="24">
        <v>46081</v>
      </c>
      <c r="B5" s="30">
        <v>2</v>
      </c>
      <c r="C5" s="26" t="s">
        <v>447</v>
      </c>
      <c r="D5" s="26" t="s">
        <v>448</v>
      </c>
      <c r="E5" s="21">
        <v>0</v>
      </c>
      <c r="F5" s="21">
        <v>10045.999341840365</v>
      </c>
      <c r="G5" s="21">
        <v>2931.126454882137</v>
      </c>
      <c r="H5" s="21">
        <v>0</v>
      </c>
      <c r="I5" s="21">
        <v>0</v>
      </c>
      <c r="J5" s="21">
        <v>0</v>
      </c>
      <c r="K5" s="21">
        <v>0</v>
      </c>
      <c r="L5" s="21">
        <v>0</v>
      </c>
      <c r="M5" s="21">
        <v>0</v>
      </c>
      <c r="N5" s="21">
        <v>0</v>
      </c>
      <c r="O5" s="21">
        <v>0</v>
      </c>
      <c r="P5" s="21">
        <v>10045.999341840365</v>
      </c>
      <c r="Q5" s="21">
        <v>2931.126454882137</v>
      </c>
      <c r="R5" s="21">
        <v>0</v>
      </c>
      <c r="S5" s="21">
        <v>0</v>
      </c>
      <c r="T5" s="21">
        <v>0</v>
      </c>
    </row>
    <row r="6" spans="1:20" x14ac:dyDescent="0.25">
      <c r="A6" s="23">
        <v>46112</v>
      </c>
      <c r="B6" s="31">
        <v>3</v>
      </c>
      <c r="C6" s="4" t="s">
        <v>449</v>
      </c>
      <c r="D6" s="4" t="s">
        <v>450</v>
      </c>
      <c r="E6" s="9">
        <v>0</v>
      </c>
      <c r="F6" s="9">
        <v>0</v>
      </c>
      <c r="G6" s="9">
        <v>0</v>
      </c>
      <c r="H6" s="9">
        <v>0</v>
      </c>
      <c r="I6" s="9">
        <v>0</v>
      </c>
      <c r="J6" s="9">
        <v>12000</v>
      </c>
      <c r="K6" s="9">
        <v>0</v>
      </c>
      <c r="L6" s="9">
        <v>0</v>
      </c>
      <c r="M6" s="9">
        <v>0</v>
      </c>
      <c r="N6" s="9">
        <v>0</v>
      </c>
      <c r="O6" s="9">
        <v>12000</v>
      </c>
      <c r="P6" s="9">
        <v>0</v>
      </c>
      <c r="Q6" s="9">
        <v>0</v>
      </c>
      <c r="R6" s="9">
        <v>0</v>
      </c>
      <c r="S6" s="9">
        <v>0</v>
      </c>
      <c r="T6" s="9">
        <v>0</v>
      </c>
    </row>
    <row r="7" spans="1:20" x14ac:dyDescent="0.25">
      <c r="A7" s="24">
        <v>46112</v>
      </c>
      <c r="B7" s="30">
        <v>3</v>
      </c>
      <c r="C7" s="26" t="s">
        <v>447</v>
      </c>
      <c r="D7" s="26" t="s">
        <v>448</v>
      </c>
      <c r="E7" s="21">
        <v>0</v>
      </c>
      <c r="F7" s="21">
        <v>10045.999341840365</v>
      </c>
      <c r="G7" s="21">
        <v>2945.39386111469</v>
      </c>
      <c r="H7" s="21">
        <v>0</v>
      </c>
      <c r="I7" s="21">
        <v>0</v>
      </c>
      <c r="J7" s="21">
        <v>0</v>
      </c>
      <c r="K7" s="21">
        <v>0</v>
      </c>
      <c r="L7" s="21">
        <v>0</v>
      </c>
      <c r="M7" s="21">
        <v>0</v>
      </c>
      <c r="N7" s="21">
        <v>0</v>
      </c>
      <c r="O7" s="21">
        <v>0</v>
      </c>
      <c r="P7" s="21">
        <v>10045.999341840365</v>
      </c>
      <c r="Q7" s="21">
        <v>2945.39386111469</v>
      </c>
      <c r="R7" s="21">
        <v>0</v>
      </c>
      <c r="S7" s="21">
        <v>0</v>
      </c>
      <c r="T7" s="21">
        <v>0</v>
      </c>
    </row>
    <row r="8" spans="1:20" x14ac:dyDescent="0.25">
      <c r="A8" s="23">
        <v>46142</v>
      </c>
      <c r="B8" s="31">
        <v>4</v>
      </c>
      <c r="C8" s="4" t="s">
        <v>449</v>
      </c>
      <c r="D8" s="4" t="s">
        <v>450</v>
      </c>
      <c r="E8" s="9">
        <v>0</v>
      </c>
      <c r="F8" s="9">
        <v>0</v>
      </c>
      <c r="G8" s="9">
        <v>0</v>
      </c>
      <c r="H8" s="9">
        <v>0</v>
      </c>
      <c r="I8" s="9">
        <v>0</v>
      </c>
      <c r="J8" s="9">
        <v>12000</v>
      </c>
      <c r="K8" s="9">
        <v>0</v>
      </c>
      <c r="L8" s="9">
        <v>0</v>
      </c>
      <c r="M8" s="9">
        <v>0</v>
      </c>
      <c r="N8" s="9">
        <v>0</v>
      </c>
      <c r="O8" s="9">
        <v>12000</v>
      </c>
      <c r="P8" s="9">
        <v>0</v>
      </c>
      <c r="Q8" s="9">
        <v>0</v>
      </c>
      <c r="R8" s="9">
        <v>0</v>
      </c>
      <c r="S8" s="9">
        <v>0</v>
      </c>
      <c r="T8" s="9">
        <v>0</v>
      </c>
    </row>
    <row r="9" spans="1:20" x14ac:dyDescent="0.25">
      <c r="A9" s="24">
        <v>46142</v>
      </c>
      <c r="B9" s="30">
        <v>4</v>
      </c>
      <c r="C9" s="26" t="s">
        <v>447</v>
      </c>
      <c r="D9" s="26" t="s">
        <v>448</v>
      </c>
      <c r="E9" s="21">
        <v>0</v>
      </c>
      <c r="F9" s="21">
        <v>10045.999341840363</v>
      </c>
      <c r="G9" s="21">
        <v>2901.3201078844004</v>
      </c>
      <c r="H9" s="21">
        <v>0</v>
      </c>
      <c r="I9" s="21">
        <v>0</v>
      </c>
      <c r="J9" s="21">
        <v>0</v>
      </c>
      <c r="K9" s="21">
        <v>0</v>
      </c>
      <c r="L9" s="21">
        <v>0</v>
      </c>
      <c r="M9" s="21">
        <v>0</v>
      </c>
      <c r="N9" s="21">
        <v>0</v>
      </c>
      <c r="O9" s="21">
        <v>0</v>
      </c>
      <c r="P9" s="21">
        <v>10045.999341840363</v>
      </c>
      <c r="Q9" s="21">
        <v>2901.3201078844004</v>
      </c>
      <c r="R9" s="21">
        <v>0</v>
      </c>
      <c r="S9" s="21">
        <v>0</v>
      </c>
      <c r="T9" s="21">
        <v>0</v>
      </c>
    </row>
    <row r="10" spans="1:20" x14ac:dyDescent="0.25">
      <c r="A10" s="23">
        <v>46173</v>
      </c>
      <c r="B10" s="31">
        <v>5</v>
      </c>
      <c r="C10" s="4" t="s">
        <v>449</v>
      </c>
      <c r="D10" s="4" t="s">
        <v>450</v>
      </c>
      <c r="E10" s="9">
        <v>0</v>
      </c>
      <c r="F10" s="9">
        <v>0</v>
      </c>
      <c r="G10" s="9">
        <v>0</v>
      </c>
      <c r="H10" s="9">
        <v>0</v>
      </c>
      <c r="I10" s="9">
        <v>0</v>
      </c>
      <c r="J10" s="9">
        <v>12000</v>
      </c>
      <c r="K10" s="9">
        <v>0</v>
      </c>
      <c r="L10" s="9">
        <v>0</v>
      </c>
      <c r="M10" s="9">
        <v>0</v>
      </c>
      <c r="N10" s="9">
        <v>0</v>
      </c>
      <c r="O10" s="9">
        <v>12000</v>
      </c>
      <c r="P10" s="9">
        <v>0</v>
      </c>
      <c r="Q10" s="9">
        <v>0</v>
      </c>
      <c r="R10" s="9">
        <v>0</v>
      </c>
      <c r="S10" s="9">
        <v>0</v>
      </c>
      <c r="T10" s="9">
        <v>0</v>
      </c>
    </row>
    <row r="11" spans="1:20" x14ac:dyDescent="0.25">
      <c r="A11" s="24">
        <v>46173</v>
      </c>
      <c r="B11" s="30">
        <v>5</v>
      </c>
      <c r="C11" s="26" t="s">
        <v>447</v>
      </c>
      <c r="D11" s="26" t="s">
        <v>448</v>
      </c>
      <c r="E11" s="21">
        <v>0</v>
      </c>
      <c r="F11" s="21">
        <v>10045.999341840363</v>
      </c>
      <c r="G11" s="21">
        <v>2857.031823431658</v>
      </c>
      <c r="H11" s="21">
        <v>0</v>
      </c>
      <c r="I11" s="21">
        <v>0</v>
      </c>
      <c r="J11" s="21">
        <v>0</v>
      </c>
      <c r="K11" s="21">
        <v>0</v>
      </c>
      <c r="L11" s="21">
        <v>0</v>
      </c>
      <c r="M11" s="21">
        <v>0</v>
      </c>
      <c r="N11" s="21">
        <v>0</v>
      </c>
      <c r="O11" s="21">
        <v>0</v>
      </c>
      <c r="P11" s="21">
        <v>10045.999341840363</v>
      </c>
      <c r="Q11" s="21">
        <v>2857.031823431658</v>
      </c>
      <c r="R11" s="21">
        <v>0</v>
      </c>
      <c r="S11" s="21">
        <v>0</v>
      </c>
      <c r="T11" s="21">
        <v>0</v>
      </c>
    </row>
    <row r="12" spans="1:20" x14ac:dyDescent="0.25">
      <c r="A12" s="23">
        <v>46203</v>
      </c>
      <c r="B12" s="31">
        <v>6</v>
      </c>
      <c r="C12" s="4" t="s">
        <v>449</v>
      </c>
      <c r="D12" s="4" t="s">
        <v>450</v>
      </c>
      <c r="E12" s="9">
        <v>0</v>
      </c>
      <c r="F12" s="9">
        <v>0</v>
      </c>
      <c r="G12" s="9">
        <v>0</v>
      </c>
      <c r="H12" s="9">
        <v>0</v>
      </c>
      <c r="I12" s="9">
        <v>0</v>
      </c>
      <c r="J12" s="9">
        <v>12000</v>
      </c>
      <c r="K12" s="9">
        <v>0</v>
      </c>
      <c r="L12" s="9">
        <v>0</v>
      </c>
      <c r="M12" s="9">
        <v>0</v>
      </c>
      <c r="N12" s="9">
        <v>0</v>
      </c>
      <c r="O12" s="9">
        <v>12000</v>
      </c>
      <c r="P12" s="9">
        <v>0</v>
      </c>
      <c r="Q12" s="9">
        <v>0</v>
      </c>
      <c r="R12" s="9">
        <v>0</v>
      </c>
      <c r="S12" s="9">
        <v>0</v>
      </c>
      <c r="T12" s="9">
        <v>0</v>
      </c>
    </row>
    <row r="13" spans="1:20" x14ac:dyDescent="0.25">
      <c r="A13" s="24">
        <v>46203</v>
      </c>
      <c r="B13" s="30">
        <v>6</v>
      </c>
      <c r="C13" s="26" t="s">
        <v>447</v>
      </c>
      <c r="D13" s="26" t="s">
        <v>448</v>
      </c>
      <c r="E13" s="21">
        <v>0</v>
      </c>
      <c r="F13" s="21">
        <v>10045.999341840363</v>
      </c>
      <c r="G13" s="21">
        <v>2812.5279635148886</v>
      </c>
      <c r="H13" s="21">
        <v>0</v>
      </c>
      <c r="I13" s="21">
        <v>0</v>
      </c>
      <c r="J13" s="21">
        <v>0</v>
      </c>
      <c r="K13" s="21">
        <v>0</v>
      </c>
      <c r="L13" s="21">
        <v>0</v>
      </c>
      <c r="M13" s="21">
        <v>0</v>
      </c>
      <c r="N13" s="21">
        <v>0</v>
      </c>
      <c r="O13" s="21">
        <v>0</v>
      </c>
      <c r="P13" s="21">
        <v>10045.999341840363</v>
      </c>
      <c r="Q13" s="21">
        <v>2812.5279635148886</v>
      </c>
      <c r="R13" s="21">
        <v>0</v>
      </c>
      <c r="S13" s="21">
        <v>0</v>
      </c>
      <c r="T13" s="21">
        <v>0</v>
      </c>
    </row>
    <row r="14" spans="1:20" x14ac:dyDescent="0.25">
      <c r="A14" s="23">
        <v>46234</v>
      </c>
      <c r="B14" s="31">
        <v>7</v>
      </c>
      <c r="C14" s="4" t="s">
        <v>449</v>
      </c>
      <c r="D14" s="4" t="s">
        <v>450</v>
      </c>
      <c r="E14" s="9">
        <v>0</v>
      </c>
      <c r="F14" s="9">
        <v>0</v>
      </c>
      <c r="G14" s="9">
        <v>0</v>
      </c>
      <c r="H14" s="9">
        <v>0</v>
      </c>
      <c r="I14" s="9">
        <v>0</v>
      </c>
      <c r="J14" s="9">
        <v>12000</v>
      </c>
      <c r="K14" s="9">
        <v>0</v>
      </c>
      <c r="L14" s="9">
        <v>0</v>
      </c>
      <c r="M14" s="9">
        <v>0</v>
      </c>
      <c r="N14" s="9">
        <v>0</v>
      </c>
      <c r="O14" s="9">
        <v>12000</v>
      </c>
      <c r="P14" s="9">
        <v>0</v>
      </c>
      <c r="Q14" s="9">
        <v>0</v>
      </c>
      <c r="R14" s="9">
        <v>0</v>
      </c>
      <c r="S14" s="9">
        <v>0</v>
      </c>
      <c r="T14" s="9">
        <v>0</v>
      </c>
    </row>
    <row r="15" spans="1:20" x14ac:dyDescent="0.25">
      <c r="A15" s="24">
        <v>46234</v>
      </c>
      <c r="B15" s="30">
        <v>7</v>
      </c>
      <c r="C15" s="26" t="s">
        <v>447</v>
      </c>
      <c r="D15" s="26" t="s">
        <v>448</v>
      </c>
      <c r="E15" s="21">
        <v>0</v>
      </c>
      <c r="F15" s="21">
        <v>10045.999341840361</v>
      </c>
      <c r="G15" s="21">
        <v>2767.8074788096224</v>
      </c>
      <c r="H15" s="21">
        <v>0</v>
      </c>
      <c r="I15" s="21">
        <v>0</v>
      </c>
      <c r="J15" s="21">
        <v>0</v>
      </c>
      <c r="K15" s="21">
        <v>0</v>
      </c>
      <c r="L15" s="21">
        <v>0</v>
      </c>
      <c r="M15" s="21">
        <v>0</v>
      </c>
      <c r="N15" s="21">
        <v>0</v>
      </c>
      <c r="O15" s="21">
        <v>0</v>
      </c>
      <c r="P15" s="21">
        <v>10045.999341840361</v>
      </c>
      <c r="Q15" s="21">
        <v>2767.8074788096224</v>
      </c>
      <c r="R15" s="21">
        <v>0</v>
      </c>
      <c r="S15" s="21">
        <v>0</v>
      </c>
      <c r="T15" s="21">
        <v>0</v>
      </c>
    </row>
    <row r="16" spans="1:20" x14ac:dyDescent="0.25">
      <c r="A16" s="23">
        <v>46265</v>
      </c>
      <c r="B16" s="31">
        <v>8</v>
      </c>
      <c r="C16" s="4" t="s">
        <v>449</v>
      </c>
      <c r="D16" s="4" t="s">
        <v>450</v>
      </c>
      <c r="E16" s="9">
        <v>0</v>
      </c>
      <c r="F16" s="9">
        <v>0</v>
      </c>
      <c r="G16" s="9">
        <v>0</v>
      </c>
      <c r="H16" s="9">
        <v>0</v>
      </c>
      <c r="I16" s="9">
        <v>0</v>
      </c>
      <c r="J16" s="9">
        <v>12000</v>
      </c>
      <c r="K16" s="9">
        <v>0</v>
      </c>
      <c r="L16" s="9">
        <v>0</v>
      </c>
      <c r="M16" s="9">
        <v>0</v>
      </c>
      <c r="N16" s="9">
        <v>0</v>
      </c>
      <c r="O16" s="9">
        <v>12000</v>
      </c>
      <c r="P16" s="9">
        <v>0</v>
      </c>
      <c r="Q16" s="9">
        <v>0</v>
      </c>
      <c r="R16" s="9">
        <v>0</v>
      </c>
      <c r="S16" s="9">
        <v>0</v>
      </c>
      <c r="T16" s="9">
        <v>0</v>
      </c>
    </row>
    <row r="17" spans="1:20" x14ac:dyDescent="0.25">
      <c r="A17" s="24">
        <v>46265</v>
      </c>
      <c r="B17" s="30">
        <v>8</v>
      </c>
      <c r="C17" s="26" t="s">
        <v>447</v>
      </c>
      <c r="D17" s="26" t="s">
        <v>448</v>
      </c>
      <c r="E17" s="21">
        <v>0</v>
      </c>
      <c r="F17" s="21">
        <v>10045.999341840361</v>
      </c>
      <c r="G17" s="21">
        <v>2722.869314883746</v>
      </c>
      <c r="H17" s="21">
        <v>0</v>
      </c>
      <c r="I17" s="21">
        <v>0</v>
      </c>
      <c r="J17" s="21">
        <v>0</v>
      </c>
      <c r="K17" s="21">
        <v>0</v>
      </c>
      <c r="L17" s="21">
        <v>0</v>
      </c>
      <c r="M17" s="21">
        <v>0</v>
      </c>
      <c r="N17" s="21">
        <v>0</v>
      </c>
      <c r="O17" s="21">
        <v>0</v>
      </c>
      <c r="P17" s="21">
        <v>10045.999341840361</v>
      </c>
      <c r="Q17" s="21">
        <v>2722.869314883746</v>
      </c>
      <c r="R17" s="21">
        <v>0</v>
      </c>
      <c r="S17" s="21">
        <v>0</v>
      </c>
      <c r="T17" s="21">
        <v>0</v>
      </c>
    </row>
    <row r="18" spans="1:20" x14ac:dyDescent="0.25">
      <c r="A18" s="23">
        <v>46295</v>
      </c>
      <c r="B18" s="31">
        <v>9</v>
      </c>
      <c r="C18" s="4" t="s">
        <v>449</v>
      </c>
      <c r="D18" s="4" t="s">
        <v>450</v>
      </c>
      <c r="E18" s="9">
        <v>0</v>
      </c>
      <c r="F18" s="9">
        <v>0</v>
      </c>
      <c r="G18" s="9">
        <v>0</v>
      </c>
      <c r="H18" s="9">
        <v>0</v>
      </c>
      <c r="I18" s="9">
        <v>0</v>
      </c>
      <c r="J18" s="9">
        <v>12000</v>
      </c>
      <c r="K18" s="9">
        <v>0</v>
      </c>
      <c r="L18" s="9">
        <v>0</v>
      </c>
      <c r="M18" s="9">
        <v>0</v>
      </c>
      <c r="N18" s="9">
        <v>0</v>
      </c>
      <c r="O18" s="9">
        <v>12000</v>
      </c>
      <c r="P18" s="9">
        <v>0</v>
      </c>
      <c r="Q18" s="9">
        <v>0</v>
      </c>
      <c r="R18" s="9">
        <v>0</v>
      </c>
      <c r="S18" s="9">
        <v>0</v>
      </c>
      <c r="T18" s="9">
        <v>0</v>
      </c>
    </row>
    <row r="19" spans="1:20" x14ac:dyDescent="0.25">
      <c r="A19" s="24">
        <v>46295</v>
      </c>
      <c r="B19" s="30">
        <v>9</v>
      </c>
      <c r="C19" s="26" t="s">
        <v>447</v>
      </c>
      <c r="D19" s="26" t="s">
        <v>448</v>
      </c>
      <c r="E19" s="21">
        <v>0</v>
      </c>
      <c r="F19" s="21">
        <v>10045.999341840361</v>
      </c>
      <c r="G19" s="21">
        <v>2677.712412172647</v>
      </c>
      <c r="H19" s="21">
        <v>0</v>
      </c>
      <c r="I19" s="21">
        <v>0</v>
      </c>
      <c r="J19" s="21">
        <v>0</v>
      </c>
      <c r="K19" s="21">
        <v>0</v>
      </c>
      <c r="L19" s="21">
        <v>0</v>
      </c>
      <c r="M19" s="21">
        <v>0</v>
      </c>
      <c r="N19" s="21">
        <v>0</v>
      </c>
      <c r="O19" s="21">
        <v>0</v>
      </c>
      <c r="P19" s="21">
        <v>10045.999341840361</v>
      </c>
      <c r="Q19" s="21">
        <v>2677.712412172647</v>
      </c>
      <c r="R19" s="21">
        <v>0</v>
      </c>
      <c r="S19" s="21">
        <v>0</v>
      </c>
      <c r="T19" s="21">
        <v>0</v>
      </c>
    </row>
    <row r="20" spans="1:20" x14ac:dyDescent="0.25">
      <c r="A20" s="23">
        <v>46326</v>
      </c>
      <c r="B20" s="31">
        <v>10</v>
      </c>
      <c r="C20" s="4" t="s">
        <v>449</v>
      </c>
      <c r="D20" s="4" t="s">
        <v>450</v>
      </c>
      <c r="E20" s="9">
        <v>0</v>
      </c>
      <c r="F20" s="9">
        <v>0</v>
      </c>
      <c r="G20" s="9">
        <v>0</v>
      </c>
      <c r="H20" s="9">
        <v>0</v>
      </c>
      <c r="I20" s="9">
        <v>0</v>
      </c>
      <c r="J20" s="9">
        <v>12000</v>
      </c>
      <c r="K20" s="9">
        <v>0</v>
      </c>
      <c r="L20" s="9">
        <v>0</v>
      </c>
      <c r="M20" s="9">
        <v>0</v>
      </c>
      <c r="N20" s="9">
        <v>0</v>
      </c>
      <c r="O20" s="9">
        <v>12000</v>
      </c>
      <c r="P20" s="9">
        <v>0</v>
      </c>
      <c r="Q20" s="9">
        <v>0</v>
      </c>
      <c r="R20" s="9">
        <v>0</v>
      </c>
      <c r="S20" s="9">
        <v>0</v>
      </c>
      <c r="T20" s="9">
        <v>0</v>
      </c>
    </row>
    <row r="21" spans="1:20" x14ac:dyDescent="0.25">
      <c r="A21" s="24">
        <v>46326</v>
      </c>
      <c r="B21" s="30">
        <v>10</v>
      </c>
      <c r="C21" s="26" t="s">
        <v>447</v>
      </c>
      <c r="D21" s="26" t="s">
        <v>448</v>
      </c>
      <c r="E21" s="21">
        <v>0</v>
      </c>
      <c r="F21" s="21">
        <v>10045.999341840361</v>
      </c>
      <c r="G21" s="21">
        <v>2632.3357059542277</v>
      </c>
      <c r="H21" s="21">
        <v>0</v>
      </c>
      <c r="I21" s="21">
        <v>0</v>
      </c>
      <c r="J21" s="21">
        <v>0</v>
      </c>
      <c r="K21" s="21">
        <v>0</v>
      </c>
      <c r="L21" s="21">
        <v>0</v>
      </c>
      <c r="M21" s="21">
        <v>0</v>
      </c>
      <c r="N21" s="21">
        <v>0</v>
      </c>
      <c r="O21" s="21">
        <v>0</v>
      </c>
      <c r="P21" s="21">
        <v>10045.999341840361</v>
      </c>
      <c r="Q21" s="21">
        <v>2632.3357059542277</v>
      </c>
      <c r="R21" s="21">
        <v>0</v>
      </c>
      <c r="S21" s="21">
        <v>0</v>
      </c>
      <c r="T21" s="21">
        <v>0</v>
      </c>
    </row>
    <row r="22" spans="1:20" x14ac:dyDescent="0.25">
      <c r="A22" s="23">
        <v>46356</v>
      </c>
      <c r="B22" s="31">
        <v>11</v>
      </c>
      <c r="C22" s="4" t="s">
        <v>449</v>
      </c>
      <c r="D22" s="4" t="s">
        <v>450</v>
      </c>
      <c r="E22" s="9">
        <v>0</v>
      </c>
      <c r="F22" s="9">
        <v>0</v>
      </c>
      <c r="G22" s="9">
        <v>0</v>
      </c>
      <c r="H22" s="9">
        <v>0</v>
      </c>
      <c r="I22" s="9">
        <v>0</v>
      </c>
      <c r="J22" s="9">
        <v>12000</v>
      </c>
      <c r="K22" s="9">
        <v>0</v>
      </c>
      <c r="L22" s="9">
        <v>0</v>
      </c>
      <c r="M22" s="9">
        <v>0</v>
      </c>
      <c r="N22" s="9">
        <v>0</v>
      </c>
      <c r="O22" s="9">
        <v>12000</v>
      </c>
      <c r="P22" s="9">
        <v>0</v>
      </c>
      <c r="Q22" s="9">
        <v>0</v>
      </c>
      <c r="R22" s="9">
        <v>0</v>
      </c>
      <c r="S22" s="9">
        <v>0</v>
      </c>
      <c r="T22" s="9">
        <v>0</v>
      </c>
    </row>
    <row r="23" spans="1:20" x14ac:dyDescent="0.25">
      <c r="A23" s="24">
        <v>46356</v>
      </c>
      <c r="B23" s="30">
        <v>11</v>
      </c>
      <c r="C23" s="26" t="s">
        <v>447</v>
      </c>
      <c r="D23" s="26" t="s">
        <v>448</v>
      </c>
      <c r="E23" s="21">
        <v>0</v>
      </c>
      <c r="F23" s="21">
        <v>10045.99934184036</v>
      </c>
      <c r="G23" s="21">
        <v>2586.738126323801</v>
      </c>
      <c r="H23" s="21">
        <v>0</v>
      </c>
      <c r="I23" s="21">
        <v>0</v>
      </c>
      <c r="J23" s="21">
        <v>0</v>
      </c>
      <c r="K23" s="21">
        <v>0</v>
      </c>
      <c r="L23" s="21">
        <v>0</v>
      </c>
      <c r="M23" s="21">
        <v>0</v>
      </c>
      <c r="N23" s="21">
        <v>0</v>
      </c>
      <c r="O23" s="21">
        <v>0</v>
      </c>
      <c r="P23" s="21">
        <v>10045.99934184036</v>
      </c>
      <c r="Q23" s="21">
        <v>2586.738126323801</v>
      </c>
      <c r="R23" s="21">
        <v>0</v>
      </c>
      <c r="S23" s="21">
        <v>0</v>
      </c>
      <c r="T23" s="21">
        <v>0</v>
      </c>
    </row>
    <row r="24" spans="1:20" x14ac:dyDescent="0.25">
      <c r="A24" s="23">
        <v>46387</v>
      </c>
      <c r="B24" s="31">
        <v>12</v>
      </c>
      <c r="C24" s="4" t="s">
        <v>449</v>
      </c>
      <c r="D24" s="4" t="s">
        <v>450</v>
      </c>
      <c r="E24" s="9">
        <v>0</v>
      </c>
      <c r="F24" s="9">
        <v>0</v>
      </c>
      <c r="G24" s="9">
        <v>0</v>
      </c>
      <c r="H24" s="9">
        <v>0</v>
      </c>
      <c r="I24" s="9">
        <v>0</v>
      </c>
      <c r="J24" s="9">
        <v>12000</v>
      </c>
      <c r="K24" s="9">
        <v>0</v>
      </c>
      <c r="L24" s="9">
        <v>0</v>
      </c>
      <c r="M24" s="9">
        <v>0</v>
      </c>
      <c r="N24" s="9">
        <v>0</v>
      </c>
      <c r="O24" s="9">
        <v>12000</v>
      </c>
      <c r="P24" s="9">
        <v>0</v>
      </c>
      <c r="Q24" s="9">
        <v>0</v>
      </c>
      <c r="R24" s="9">
        <v>0</v>
      </c>
      <c r="S24" s="9">
        <v>0</v>
      </c>
      <c r="T24" s="9">
        <v>0</v>
      </c>
    </row>
    <row r="25" spans="1:20" x14ac:dyDescent="0.25">
      <c r="A25" s="24">
        <v>46387</v>
      </c>
      <c r="B25" s="30">
        <v>12</v>
      </c>
      <c r="C25" s="26" t="s">
        <v>447</v>
      </c>
      <c r="D25" s="26" t="s">
        <v>448</v>
      </c>
      <c r="E25" s="21">
        <v>0</v>
      </c>
      <c r="F25" s="21">
        <v>10045.99934184036</v>
      </c>
      <c r="G25" s="21">
        <v>2540.9185981688665</v>
      </c>
      <c r="H25" s="21">
        <v>0</v>
      </c>
      <c r="I25" s="21">
        <v>0</v>
      </c>
      <c r="J25" s="21">
        <v>0</v>
      </c>
      <c r="K25" s="21">
        <v>0</v>
      </c>
      <c r="L25" s="21">
        <v>0</v>
      </c>
      <c r="M25" s="21">
        <v>0</v>
      </c>
      <c r="N25" s="21">
        <v>0</v>
      </c>
      <c r="O25" s="21">
        <v>0</v>
      </c>
      <c r="P25" s="21">
        <v>10045.99934184036</v>
      </c>
      <c r="Q25" s="21">
        <v>2540.9185981688665</v>
      </c>
      <c r="R25" s="21">
        <v>0</v>
      </c>
      <c r="S25" s="21">
        <v>0</v>
      </c>
      <c r="T25" s="21">
        <v>0</v>
      </c>
    </row>
    <row r="26" spans="1:20" x14ac:dyDescent="0.25">
      <c r="A26" s="23">
        <v>46418</v>
      </c>
      <c r="B26" s="31">
        <v>13</v>
      </c>
      <c r="C26" s="4" t="s">
        <v>451</v>
      </c>
      <c r="D26" s="4" t="s">
        <v>452</v>
      </c>
      <c r="E26" s="9">
        <v>20502.106820685556</v>
      </c>
      <c r="F26" s="9">
        <v>0</v>
      </c>
      <c r="G26" s="9">
        <v>0</v>
      </c>
      <c r="H26" s="9">
        <v>0</v>
      </c>
      <c r="I26" s="9">
        <v>0</v>
      </c>
      <c r="J26" s="9">
        <v>0</v>
      </c>
      <c r="K26" s="9">
        <v>0</v>
      </c>
      <c r="L26" s="9">
        <v>0</v>
      </c>
      <c r="M26" s="9">
        <v>0</v>
      </c>
      <c r="N26" s="9">
        <v>0</v>
      </c>
      <c r="O26" s="9">
        <v>0</v>
      </c>
      <c r="P26" s="9">
        <v>0</v>
      </c>
      <c r="Q26" s="9">
        <v>20502.106820685556</v>
      </c>
      <c r="R26" s="9">
        <v>0</v>
      </c>
      <c r="S26" s="9">
        <v>0</v>
      </c>
      <c r="T26" s="9">
        <v>0</v>
      </c>
    </row>
    <row r="27" spans="1:20" x14ac:dyDescent="0.25">
      <c r="A27" s="24">
        <v>46418</v>
      </c>
      <c r="B27" s="30">
        <v>13</v>
      </c>
      <c r="C27" s="26" t="s">
        <v>449</v>
      </c>
      <c r="D27" s="26" t="s">
        <v>450</v>
      </c>
      <c r="E27" s="21">
        <v>0</v>
      </c>
      <c r="F27" s="21">
        <v>0</v>
      </c>
      <c r="G27" s="21">
        <v>0</v>
      </c>
      <c r="H27" s="21">
        <v>0</v>
      </c>
      <c r="I27" s="21">
        <v>0</v>
      </c>
      <c r="J27" s="21">
        <v>12480</v>
      </c>
      <c r="K27" s="21">
        <v>0</v>
      </c>
      <c r="L27" s="21">
        <v>0</v>
      </c>
      <c r="M27" s="21">
        <v>0</v>
      </c>
      <c r="N27" s="21">
        <v>0</v>
      </c>
      <c r="O27" s="21">
        <v>12480</v>
      </c>
      <c r="P27" s="21">
        <v>0</v>
      </c>
      <c r="Q27" s="21">
        <v>0</v>
      </c>
      <c r="R27" s="21">
        <v>0</v>
      </c>
      <c r="S27" s="21">
        <v>0</v>
      </c>
      <c r="T27" s="21">
        <v>0</v>
      </c>
    </row>
    <row r="28" spans="1:20" x14ac:dyDescent="0.25">
      <c r="A28" s="23">
        <v>46418</v>
      </c>
      <c r="B28" s="31">
        <v>13</v>
      </c>
      <c r="C28" s="4" t="s">
        <v>447</v>
      </c>
      <c r="D28" s="4" t="s">
        <v>448</v>
      </c>
      <c r="E28" s="9">
        <v>0</v>
      </c>
      <c r="F28" s="9">
        <v>10473.126567271309</v>
      </c>
      <c r="G28" s="9">
        <v>2594.671082789509</v>
      </c>
      <c r="H28" s="9">
        <v>0</v>
      </c>
      <c r="I28" s="9">
        <v>0</v>
      </c>
      <c r="J28" s="9">
        <v>0</v>
      </c>
      <c r="K28" s="9">
        <v>0</v>
      </c>
      <c r="L28" s="9">
        <v>0</v>
      </c>
      <c r="M28" s="9">
        <v>0</v>
      </c>
      <c r="N28" s="9">
        <v>0</v>
      </c>
      <c r="O28" s="9">
        <v>0</v>
      </c>
      <c r="P28" s="9">
        <v>10473.126567271309</v>
      </c>
      <c r="Q28" s="9">
        <v>2594.671082789509</v>
      </c>
      <c r="R28" s="9">
        <v>0</v>
      </c>
      <c r="S28" s="9">
        <v>0</v>
      </c>
      <c r="T28" s="9">
        <v>0</v>
      </c>
    </row>
    <row r="29" spans="1:20" x14ac:dyDescent="0.25">
      <c r="A29" s="24">
        <v>46446</v>
      </c>
      <c r="B29" s="30">
        <v>14</v>
      </c>
      <c r="C29" s="26" t="s">
        <v>449</v>
      </c>
      <c r="D29" s="26" t="s">
        <v>450</v>
      </c>
      <c r="E29" s="21">
        <v>0</v>
      </c>
      <c r="F29" s="21">
        <v>0</v>
      </c>
      <c r="G29" s="21">
        <v>0</v>
      </c>
      <c r="H29" s="21">
        <v>0</v>
      </c>
      <c r="I29" s="21">
        <v>0</v>
      </c>
      <c r="J29" s="21">
        <v>12480</v>
      </c>
      <c r="K29" s="21">
        <v>0</v>
      </c>
      <c r="L29" s="21">
        <v>0</v>
      </c>
      <c r="M29" s="21">
        <v>0</v>
      </c>
      <c r="N29" s="21">
        <v>0</v>
      </c>
      <c r="O29" s="21">
        <v>12480</v>
      </c>
      <c r="P29" s="21">
        <v>0</v>
      </c>
      <c r="Q29" s="21">
        <v>0</v>
      </c>
      <c r="R29" s="21">
        <v>0</v>
      </c>
      <c r="S29" s="21">
        <v>0</v>
      </c>
      <c r="T29" s="21">
        <v>0</v>
      </c>
    </row>
    <row r="30" spans="1:20" x14ac:dyDescent="0.25">
      <c r="A30" s="23">
        <v>46446</v>
      </c>
      <c r="B30" s="31">
        <v>14</v>
      </c>
      <c r="C30" s="4" t="s">
        <v>447</v>
      </c>
      <c r="D30" s="4" t="s">
        <v>448</v>
      </c>
      <c r="E30" s="9">
        <v>0</v>
      </c>
      <c r="F30" s="9">
        <v>10473.12656727131</v>
      </c>
      <c r="G30" s="9">
        <v>2546.5537444299393</v>
      </c>
      <c r="H30" s="9">
        <v>0</v>
      </c>
      <c r="I30" s="9">
        <v>0</v>
      </c>
      <c r="J30" s="9">
        <v>0</v>
      </c>
      <c r="K30" s="9">
        <v>0</v>
      </c>
      <c r="L30" s="9">
        <v>0</v>
      </c>
      <c r="M30" s="9">
        <v>0</v>
      </c>
      <c r="N30" s="9">
        <v>0</v>
      </c>
      <c r="O30" s="9">
        <v>0</v>
      </c>
      <c r="P30" s="9">
        <v>10473.12656727131</v>
      </c>
      <c r="Q30" s="9">
        <v>2546.5537444299393</v>
      </c>
      <c r="R30" s="9">
        <v>0</v>
      </c>
      <c r="S30" s="9">
        <v>0</v>
      </c>
      <c r="T30" s="9">
        <v>0</v>
      </c>
    </row>
    <row r="31" spans="1:20" x14ac:dyDescent="0.25">
      <c r="A31" s="24">
        <v>46477</v>
      </c>
      <c r="B31" s="30">
        <v>15</v>
      </c>
      <c r="C31" s="26" t="s">
        <v>449</v>
      </c>
      <c r="D31" s="26" t="s">
        <v>450</v>
      </c>
      <c r="E31" s="21">
        <v>0</v>
      </c>
      <c r="F31" s="21">
        <v>0</v>
      </c>
      <c r="G31" s="21">
        <v>0</v>
      </c>
      <c r="H31" s="21">
        <v>0</v>
      </c>
      <c r="I31" s="21">
        <v>0</v>
      </c>
      <c r="J31" s="21">
        <v>12480</v>
      </c>
      <c r="K31" s="21">
        <v>0</v>
      </c>
      <c r="L31" s="21">
        <v>0</v>
      </c>
      <c r="M31" s="21">
        <v>0</v>
      </c>
      <c r="N31" s="21">
        <v>0</v>
      </c>
      <c r="O31" s="21">
        <v>12480</v>
      </c>
      <c r="P31" s="21">
        <v>0</v>
      </c>
      <c r="Q31" s="21">
        <v>0</v>
      </c>
      <c r="R31" s="21">
        <v>0</v>
      </c>
      <c r="S31" s="21">
        <v>0</v>
      </c>
      <c r="T31" s="21">
        <v>0</v>
      </c>
    </row>
    <row r="32" spans="1:20" x14ac:dyDescent="0.25">
      <c r="A32" s="23">
        <v>46477</v>
      </c>
      <c r="B32" s="31">
        <v>15</v>
      </c>
      <c r="C32" s="4" t="s">
        <v>447</v>
      </c>
      <c r="D32" s="4" t="s">
        <v>448</v>
      </c>
      <c r="E32" s="9">
        <v>0</v>
      </c>
      <c r="F32" s="9">
        <v>10473.12656727131</v>
      </c>
      <c r="G32" s="9">
        <v>2498.2021924928345</v>
      </c>
      <c r="H32" s="9">
        <v>0</v>
      </c>
      <c r="I32" s="9">
        <v>0</v>
      </c>
      <c r="J32" s="9">
        <v>0</v>
      </c>
      <c r="K32" s="9">
        <v>0</v>
      </c>
      <c r="L32" s="9">
        <v>0</v>
      </c>
      <c r="M32" s="9">
        <v>0</v>
      </c>
      <c r="N32" s="9">
        <v>0</v>
      </c>
      <c r="O32" s="9">
        <v>0</v>
      </c>
      <c r="P32" s="9">
        <v>10473.12656727131</v>
      </c>
      <c r="Q32" s="9">
        <v>2498.2021924928345</v>
      </c>
      <c r="R32" s="9">
        <v>0</v>
      </c>
      <c r="S32" s="9">
        <v>0</v>
      </c>
      <c r="T32" s="9">
        <v>0</v>
      </c>
    </row>
    <row r="33" spans="1:20" x14ac:dyDescent="0.25">
      <c r="A33" s="24">
        <v>46507</v>
      </c>
      <c r="B33" s="30">
        <v>16</v>
      </c>
      <c r="C33" s="26" t="s">
        <v>449</v>
      </c>
      <c r="D33" s="26" t="s">
        <v>450</v>
      </c>
      <c r="E33" s="21">
        <v>0</v>
      </c>
      <c r="F33" s="21">
        <v>0</v>
      </c>
      <c r="G33" s="21">
        <v>0</v>
      </c>
      <c r="H33" s="21">
        <v>0</v>
      </c>
      <c r="I33" s="21">
        <v>0</v>
      </c>
      <c r="J33" s="21">
        <v>12480</v>
      </c>
      <c r="K33" s="21">
        <v>0</v>
      </c>
      <c r="L33" s="21">
        <v>0</v>
      </c>
      <c r="M33" s="21">
        <v>0</v>
      </c>
      <c r="N33" s="21">
        <v>0</v>
      </c>
      <c r="O33" s="21">
        <v>12480</v>
      </c>
      <c r="P33" s="21">
        <v>0</v>
      </c>
      <c r="Q33" s="21">
        <v>0</v>
      </c>
      <c r="R33" s="21">
        <v>0</v>
      </c>
      <c r="S33" s="21">
        <v>0</v>
      </c>
      <c r="T33" s="21">
        <v>0</v>
      </c>
    </row>
    <row r="34" spans="1:20" x14ac:dyDescent="0.25">
      <c r="A34" s="23">
        <v>46507</v>
      </c>
      <c r="B34" s="31">
        <v>16</v>
      </c>
      <c r="C34" s="4" t="s">
        <v>447</v>
      </c>
      <c r="D34" s="4" t="s">
        <v>448</v>
      </c>
      <c r="E34" s="9">
        <v>0</v>
      </c>
      <c r="F34" s="9">
        <v>10473.12656727131</v>
      </c>
      <c r="G34" s="9">
        <v>2449.615286931763</v>
      </c>
      <c r="H34" s="9">
        <v>0</v>
      </c>
      <c r="I34" s="9">
        <v>0</v>
      </c>
      <c r="J34" s="9">
        <v>0</v>
      </c>
      <c r="K34" s="9">
        <v>0</v>
      </c>
      <c r="L34" s="9">
        <v>0</v>
      </c>
      <c r="M34" s="9">
        <v>0</v>
      </c>
      <c r="N34" s="9">
        <v>0</v>
      </c>
      <c r="O34" s="9">
        <v>0</v>
      </c>
      <c r="P34" s="9">
        <v>10473.12656727131</v>
      </c>
      <c r="Q34" s="9">
        <v>2449.615286931763</v>
      </c>
      <c r="R34" s="9">
        <v>0</v>
      </c>
      <c r="S34" s="9">
        <v>0</v>
      </c>
      <c r="T34" s="9">
        <v>0</v>
      </c>
    </row>
    <row r="35" spans="1:20" x14ac:dyDescent="0.25">
      <c r="A35" s="24">
        <v>46538</v>
      </c>
      <c r="B35" s="30">
        <v>17</v>
      </c>
      <c r="C35" s="26" t="s">
        <v>449</v>
      </c>
      <c r="D35" s="26" t="s">
        <v>450</v>
      </c>
      <c r="E35" s="21">
        <v>0</v>
      </c>
      <c r="F35" s="21">
        <v>0</v>
      </c>
      <c r="G35" s="21">
        <v>0</v>
      </c>
      <c r="H35" s="21">
        <v>0</v>
      </c>
      <c r="I35" s="21">
        <v>0</v>
      </c>
      <c r="J35" s="21">
        <v>12480</v>
      </c>
      <c r="K35" s="21">
        <v>0</v>
      </c>
      <c r="L35" s="21">
        <v>0</v>
      </c>
      <c r="M35" s="21">
        <v>0</v>
      </c>
      <c r="N35" s="21">
        <v>0</v>
      </c>
      <c r="O35" s="21">
        <v>12480</v>
      </c>
      <c r="P35" s="21">
        <v>0</v>
      </c>
      <c r="Q35" s="21">
        <v>0</v>
      </c>
      <c r="R35" s="21">
        <v>0</v>
      </c>
      <c r="S35" s="21">
        <v>0</v>
      </c>
      <c r="T35" s="21">
        <v>0</v>
      </c>
    </row>
    <row r="36" spans="1:20" x14ac:dyDescent="0.25">
      <c r="A36" s="23">
        <v>46538</v>
      </c>
      <c r="B36" s="31">
        <v>17</v>
      </c>
      <c r="C36" s="4" t="s">
        <v>447</v>
      </c>
      <c r="D36" s="4" t="s">
        <v>448</v>
      </c>
      <c r="E36" s="9">
        <v>0</v>
      </c>
      <c r="F36" s="9">
        <v>10473.12656727131</v>
      </c>
      <c r="G36" s="9">
        <v>2400.7918821510593</v>
      </c>
      <c r="H36" s="9">
        <v>0</v>
      </c>
      <c r="I36" s="9">
        <v>0</v>
      </c>
      <c r="J36" s="9">
        <v>0</v>
      </c>
      <c r="K36" s="9">
        <v>0</v>
      </c>
      <c r="L36" s="9">
        <v>0</v>
      </c>
      <c r="M36" s="9">
        <v>0</v>
      </c>
      <c r="N36" s="9">
        <v>0</v>
      </c>
      <c r="O36" s="9">
        <v>0</v>
      </c>
      <c r="P36" s="9">
        <v>10473.12656727131</v>
      </c>
      <c r="Q36" s="9">
        <v>2400.7918821510593</v>
      </c>
      <c r="R36" s="9">
        <v>0</v>
      </c>
      <c r="S36" s="9">
        <v>0</v>
      </c>
      <c r="T36" s="9">
        <v>0</v>
      </c>
    </row>
    <row r="37" spans="1:20" x14ac:dyDescent="0.25">
      <c r="A37" s="24">
        <v>46568</v>
      </c>
      <c r="B37" s="30">
        <v>18</v>
      </c>
      <c r="C37" s="26" t="s">
        <v>449</v>
      </c>
      <c r="D37" s="26" t="s">
        <v>450</v>
      </c>
      <c r="E37" s="21">
        <v>0</v>
      </c>
      <c r="F37" s="21">
        <v>0</v>
      </c>
      <c r="G37" s="21">
        <v>0</v>
      </c>
      <c r="H37" s="21">
        <v>0</v>
      </c>
      <c r="I37" s="21">
        <v>0</v>
      </c>
      <c r="J37" s="21">
        <v>12480</v>
      </c>
      <c r="K37" s="21">
        <v>0</v>
      </c>
      <c r="L37" s="21">
        <v>0</v>
      </c>
      <c r="M37" s="21">
        <v>0</v>
      </c>
      <c r="N37" s="21">
        <v>0</v>
      </c>
      <c r="O37" s="21">
        <v>12480</v>
      </c>
      <c r="P37" s="21">
        <v>0</v>
      </c>
      <c r="Q37" s="21">
        <v>0</v>
      </c>
      <c r="R37" s="21">
        <v>0</v>
      </c>
      <c r="S37" s="21">
        <v>0</v>
      </c>
      <c r="T37" s="21">
        <v>0</v>
      </c>
    </row>
    <row r="38" spans="1:20" x14ac:dyDescent="0.25">
      <c r="A38" s="23">
        <v>46568</v>
      </c>
      <c r="B38" s="31">
        <v>18</v>
      </c>
      <c r="C38" s="4" t="s">
        <v>447</v>
      </c>
      <c r="D38" s="4" t="s">
        <v>448</v>
      </c>
      <c r="E38" s="9">
        <v>0</v>
      </c>
      <c r="F38" s="9">
        <v>10473.12656727131</v>
      </c>
      <c r="G38" s="9">
        <v>2351.7308269788136</v>
      </c>
      <c r="H38" s="9">
        <v>0</v>
      </c>
      <c r="I38" s="9">
        <v>0</v>
      </c>
      <c r="J38" s="9">
        <v>0</v>
      </c>
      <c r="K38" s="9">
        <v>0</v>
      </c>
      <c r="L38" s="9">
        <v>0</v>
      </c>
      <c r="M38" s="9">
        <v>0</v>
      </c>
      <c r="N38" s="9">
        <v>0</v>
      </c>
      <c r="O38" s="9">
        <v>0</v>
      </c>
      <c r="P38" s="9">
        <v>10473.12656727131</v>
      </c>
      <c r="Q38" s="9">
        <v>2351.7308269788136</v>
      </c>
      <c r="R38" s="9">
        <v>0</v>
      </c>
      <c r="S38" s="9">
        <v>0</v>
      </c>
      <c r="T38" s="9">
        <v>0</v>
      </c>
    </row>
    <row r="39" spans="1:20" x14ac:dyDescent="0.25">
      <c r="A39" s="24">
        <v>46599</v>
      </c>
      <c r="B39" s="30">
        <v>19</v>
      </c>
      <c r="C39" s="26" t="s">
        <v>449</v>
      </c>
      <c r="D39" s="26" t="s">
        <v>450</v>
      </c>
      <c r="E39" s="21">
        <v>0</v>
      </c>
      <c r="F39" s="21">
        <v>0</v>
      </c>
      <c r="G39" s="21">
        <v>0</v>
      </c>
      <c r="H39" s="21">
        <v>0</v>
      </c>
      <c r="I39" s="21">
        <v>0</v>
      </c>
      <c r="J39" s="21">
        <v>12480</v>
      </c>
      <c r="K39" s="21">
        <v>0</v>
      </c>
      <c r="L39" s="21">
        <v>0</v>
      </c>
      <c r="M39" s="21">
        <v>0</v>
      </c>
      <c r="N39" s="21">
        <v>0</v>
      </c>
      <c r="O39" s="21">
        <v>12480</v>
      </c>
      <c r="P39" s="21">
        <v>0</v>
      </c>
      <c r="Q39" s="21">
        <v>0</v>
      </c>
      <c r="R39" s="21">
        <v>0</v>
      </c>
      <c r="S39" s="21">
        <v>0</v>
      </c>
      <c r="T39" s="21">
        <v>0</v>
      </c>
    </row>
    <row r="40" spans="1:20" x14ac:dyDescent="0.25">
      <c r="A40" s="23">
        <v>46599</v>
      </c>
      <c r="B40" s="31">
        <v>19</v>
      </c>
      <c r="C40" s="4" t="s">
        <v>447</v>
      </c>
      <c r="D40" s="4" t="s">
        <v>448</v>
      </c>
      <c r="E40" s="9">
        <v>0</v>
      </c>
      <c r="F40" s="9">
        <v>10473.12656727131</v>
      </c>
      <c r="G40" s="9">
        <v>2302.430964639728</v>
      </c>
      <c r="H40" s="9">
        <v>0</v>
      </c>
      <c r="I40" s="9">
        <v>0</v>
      </c>
      <c r="J40" s="9">
        <v>0</v>
      </c>
      <c r="K40" s="9">
        <v>0</v>
      </c>
      <c r="L40" s="9">
        <v>0</v>
      </c>
      <c r="M40" s="9">
        <v>0</v>
      </c>
      <c r="N40" s="9">
        <v>0</v>
      </c>
      <c r="O40" s="9">
        <v>0</v>
      </c>
      <c r="P40" s="9">
        <v>10473.12656727131</v>
      </c>
      <c r="Q40" s="9">
        <v>2302.430964639728</v>
      </c>
      <c r="R40" s="9">
        <v>0</v>
      </c>
      <c r="S40" s="9">
        <v>0</v>
      </c>
      <c r="T40" s="9">
        <v>0</v>
      </c>
    </row>
    <row r="41" spans="1:20" x14ac:dyDescent="0.25">
      <c r="A41" s="24">
        <v>46630</v>
      </c>
      <c r="B41" s="30">
        <v>20</v>
      </c>
      <c r="C41" s="26" t="s">
        <v>449</v>
      </c>
      <c r="D41" s="26" t="s">
        <v>450</v>
      </c>
      <c r="E41" s="21">
        <v>0</v>
      </c>
      <c r="F41" s="21">
        <v>0</v>
      </c>
      <c r="G41" s="21">
        <v>0</v>
      </c>
      <c r="H41" s="21">
        <v>0</v>
      </c>
      <c r="I41" s="21">
        <v>0</v>
      </c>
      <c r="J41" s="21">
        <v>12480</v>
      </c>
      <c r="K41" s="21">
        <v>0</v>
      </c>
      <c r="L41" s="21">
        <v>0</v>
      </c>
      <c r="M41" s="21">
        <v>0</v>
      </c>
      <c r="N41" s="21">
        <v>0</v>
      </c>
      <c r="O41" s="21">
        <v>12480</v>
      </c>
      <c r="P41" s="21">
        <v>0</v>
      </c>
      <c r="Q41" s="21">
        <v>0</v>
      </c>
      <c r="R41" s="21">
        <v>0</v>
      </c>
      <c r="S41" s="21">
        <v>0</v>
      </c>
      <c r="T41" s="21">
        <v>0</v>
      </c>
    </row>
    <row r="42" spans="1:20" x14ac:dyDescent="0.25">
      <c r="A42" s="23">
        <v>46630</v>
      </c>
      <c r="B42" s="31">
        <v>20</v>
      </c>
      <c r="C42" s="4" t="s">
        <v>447</v>
      </c>
      <c r="D42" s="4" t="s">
        <v>448</v>
      </c>
      <c r="E42" s="9">
        <v>0</v>
      </c>
      <c r="F42" s="9">
        <v>10473.12656727131</v>
      </c>
      <c r="G42" s="9">
        <v>2252.8911327278415</v>
      </c>
      <c r="H42" s="9">
        <v>0</v>
      </c>
      <c r="I42" s="9">
        <v>0</v>
      </c>
      <c r="J42" s="9">
        <v>0</v>
      </c>
      <c r="K42" s="9">
        <v>0</v>
      </c>
      <c r="L42" s="9">
        <v>0</v>
      </c>
      <c r="M42" s="9">
        <v>0</v>
      </c>
      <c r="N42" s="9">
        <v>0</v>
      </c>
      <c r="O42" s="9">
        <v>0</v>
      </c>
      <c r="P42" s="9">
        <v>10473.12656727131</v>
      </c>
      <c r="Q42" s="9">
        <v>2252.8911327278415</v>
      </c>
      <c r="R42" s="9">
        <v>0</v>
      </c>
      <c r="S42" s="9">
        <v>0</v>
      </c>
      <c r="T42" s="9">
        <v>0</v>
      </c>
    </row>
    <row r="43" spans="1:20" x14ac:dyDescent="0.25">
      <c r="A43" s="24">
        <v>46660</v>
      </c>
      <c r="B43" s="30">
        <v>21</v>
      </c>
      <c r="C43" s="26" t="s">
        <v>449</v>
      </c>
      <c r="D43" s="26" t="s">
        <v>450</v>
      </c>
      <c r="E43" s="21">
        <v>0</v>
      </c>
      <c r="F43" s="21">
        <v>0</v>
      </c>
      <c r="G43" s="21">
        <v>0</v>
      </c>
      <c r="H43" s="21">
        <v>0</v>
      </c>
      <c r="I43" s="21">
        <v>0</v>
      </c>
      <c r="J43" s="21">
        <v>12480</v>
      </c>
      <c r="K43" s="21">
        <v>0</v>
      </c>
      <c r="L43" s="21">
        <v>0</v>
      </c>
      <c r="M43" s="21">
        <v>0</v>
      </c>
      <c r="N43" s="21">
        <v>0</v>
      </c>
      <c r="O43" s="21">
        <v>12480</v>
      </c>
      <c r="P43" s="21">
        <v>0</v>
      </c>
      <c r="Q43" s="21">
        <v>0</v>
      </c>
      <c r="R43" s="21">
        <v>0</v>
      </c>
      <c r="S43" s="21">
        <v>0</v>
      </c>
      <c r="T43" s="21">
        <v>0</v>
      </c>
    </row>
    <row r="44" spans="1:20" x14ac:dyDescent="0.25">
      <c r="A44" s="23">
        <v>46660</v>
      </c>
      <c r="B44" s="31">
        <v>21</v>
      </c>
      <c r="C44" s="4" t="s">
        <v>447</v>
      </c>
      <c r="D44" s="4" t="s">
        <v>448</v>
      </c>
      <c r="E44" s="9">
        <v>0</v>
      </c>
      <c r="F44" s="9">
        <v>10473.126567271313</v>
      </c>
      <c r="G44" s="9">
        <v>2203.110163179126</v>
      </c>
      <c r="H44" s="9">
        <v>0</v>
      </c>
      <c r="I44" s="9">
        <v>0</v>
      </c>
      <c r="J44" s="9">
        <v>0</v>
      </c>
      <c r="K44" s="9">
        <v>0</v>
      </c>
      <c r="L44" s="9">
        <v>0</v>
      </c>
      <c r="M44" s="9">
        <v>0</v>
      </c>
      <c r="N44" s="9">
        <v>0</v>
      </c>
      <c r="O44" s="9">
        <v>0</v>
      </c>
      <c r="P44" s="9">
        <v>10473.126567271313</v>
      </c>
      <c r="Q44" s="9">
        <v>2203.110163179126</v>
      </c>
      <c r="R44" s="9">
        <v>0</v>
      </c>
      <c r="S44" s="9">
        <v>0</v>
      </c>
      <c r="T44" s="9">
        <v>0</v>
      </c>
    </row>
    <row r="45" spans="1:20" x14ac:dyDescent="0.25">
      <c r="A45" s="24">
        <v>46691</v>
      </c>
      <c r="B45" s="30">
        <v>22</v>
      </c>
      <c r="C45" s="26" t="s">
        <v>449</v>
      </c>
      <c r="D45" s="26" t="s">
        <v>450</v>
      </c>
      <c r="E45" s="21">
        <v>0</v>
      </c>
      <c r="F45" s="21">
        <v>0</v>
      </c>
      <c r="G45" s="21">
        <v>0</v>
      </c>
      <c r="H45" s="21">
        <v>0</v>
      </c>
      <c r="I45" s="21">
        <v>0</v>
      </c>
      <c r="J45" s="21">
        <v>12480</v>
      </c>
      <c r="K45" s="21">
        <v>0</v>
      </c>
      <c r="L45" s="21">
        <v>0</v>
      </c>
      <c r="M45" s="21">
        <v>0</v>
      </c>
      <c r="N45" s="21">
        <v>0</v>
      </c>
      <c r="O45" s="21">
        <v>12480</v>
      </c>
      <c r="P45" s="21">
        <v>0</v>
      </c>
      <c r="Q45" s="21">
        <v>0</v>
      </c>
      <c r="R45" s="21">
        <v>0</v>
      </c>
      <c r="S45" s="21">
        <v>0</v>
      </c>
      <c r="T45" s="21">
        <v>0</v>
      </c>
    </row>
    <row r="46" spans="1:20" x14ac:dyDescent="0.25">
      <c r="A46" s="23">
        <v>46691</v>
      </c>
      <c r="B46" s="31">
        <v>22</v>
      </c>
      <c r="C46" s="4" t="s">
        <v>447</v>
      </c>
      <c r="D46" s="4" t="s">
        <v>448</v>
      </c>
      <c r="E46" s="9">
        <v>0</v>
      </c>
      <c r="F46" s="9">
        <v>10473.12656727131</v>
      </c>
      <c r="G46" s="9">
        <v>2153.0868822439406</v>
      </c>
      <c r="H46" s="9">
        <v>0</v>
      </c>
      <c r="I46" s="9">
        <v>0</v>
      </c>
      <c r="J46" s="9">
        <v>0</v>
      </c>
      <c r="K46" s="9">
        <v>0</v>
      </c>
      <c r="L46" s="9">
        <v>0</v>
      </c>
      <c r="M46" s="9">
        <v>0</v>
      </c>
      <c r="N46" s="9">
        <v>0</v>
      </c>
      <c r="O46" s="9">
        <v>0</v>
      </c>
      <c r="P46" s="9">
        <v>10473.12656727131</v>
      </c>
      <c r="Q46" s="9">
        <v>2153.0868822439406</v>
      </c>
      <c r="R46" s="9">
        <v>0</v>
      </c>
      <c r="S46" s="9">
        <v>0</v>
      </c>
      <c r="T46" s="9">
        <v>0</v>
      </c>
    </row>
    <row r="47" spans="1:20" x14ac:dyDescent="0.25">
      <c r="A47" s="24">
        <v>46721</v>
      </c>
      <c r="B47" s="30">
        <v>23</v>
      </c>
      <c r="C47" s="26" t="s">
        <v>449</v>
      </c>
      <c r="D47" s="26" t="s">
        <v>450</v>
      </c>
      <c r="E47" s="21">
        <v>0</v>
      </c>
      <c r="F47" s="21">
        <v>0</v>
      </c>
      <c r="G47" s="21">
        <v>0</v>
      </c>
      <c r="H47" s="21">
        <v>0</v>
      </c>
      <c r="I47" s="21">
        <v>0</v>
      </c>
      <c r="J47" s="21">
        <v>12480</v>
      </c>
      <c r="K47" s="21">
        <v>0</v>
      </c>
      <c r="L47" s="21">
        <v>0</v>
      </c>
      <c r="M47" s="21">
        <v>0</v>
      </c>
      <c r="N47" s="21">
        <v>0</v>
      </c>
      <c r="O47" s="21">
        <v>12480</v>
      </c>
      <c r="P47" s="21">
        <v>0</v>
      </c>
      <c r="Q47" s="21">
        <v>0</v>
      </c>
      <c r="R47" s="21">
        <v>0</v>
      </c>
      <c r="S47" s="21">
        <v>0</v>
      </c>
      <c r="T47" s="21">
        <v>0</v>
      </c>
    </row>
    <row r="48" spans="1:20" x14ac:dyDescent="0.25">
      <c r="A48" s="23">
        <v>46721</v>
      </c>
      <c r="B48" s="31">
        <v>23</v>
      </c>
      <c r="C48" s="4" t="s">
        <v>447</v>
      </c>
      <c r="D48" s="4" t="s">
        <v>448</v>
      </c>
      <c r="E48" s="9">
        <v>0</v>
      </c>
      <c r="F48" s="9">
        <v>10473.12656727131</v>
      </c>
      <c r="G48" s="9">
        <v>2102.820110459358</v>
      </c>
      <c r="H48" s="9">
        <v>0</v>
      </c>
      <c r="I48" s="9">
        <v>0</v>
      </c>
      <c r="J48" s="9">
        <v>0</v>
      </c>
      <c r="K48" s="9">
        <v>0</v>
      </c>
      <c r="L48" s="9">
        <v>0</v>
      </c>
      <c r="M48" s="9">
        <v>0</v>
      </c>
      <c r="N48" s="9">
        <v>0</v>
      </c>
      <c r="O48" s="9">
        <v>0</v>
      </c>
      <c r="P48" s="9">
        <v>10473.12656727131</v>
      </c>
      <c r="Q48" s="9">
        <v>2102.820110459358</v>
      </c>
      <c r="R48" s="9">
        <v>0</v>
      </c>
      <c r="S48" s="9">
        <v>0</v>
      </c>
      <c r="T48" s="9">
        <v>0</v>
      </c>
    </row>
    <row r="49" spans="1:20" x14ac:dyDescent="0.25">
      <c r="A49" s="24">
        <v>46752</v>
      </c>
      <c r="B49" s="30">
        <v>24</v>
      </c>
      <c r="C49" s="26" t="s">
        <v>449</v>
      </c>
      <c r="D49" s="26" t="s">
        <v>450</v>
      </c>
      <c r="E49" s="21">
        <v>0</v>
      </c>
      <c r="F49" s="21">
        <v>0</v>
      </c>
      <c r="G49" s="21">
        <v>0</v>
      </c>
      <c r="H49" s="21">
        <v>0</v>
      </c>
      <c r="I49" s="21">
        <v>0</v>
      </c>
      <c r="J49" s="21">
        <v>12480</v>
      </c>
      <c r="K49" s="21">
        <v>0</v>
      </c>
      <c r="L49" s="21">
        <v>0</v>
      </c>
      <c r="M49" s="21">
        <v>0</v>
      </c>
      <c r="N49" s="21">
        <v>0</v>
      </c>
      <c r="O49" s="21">
        <v>12480</v>
      </c>
      <c r="P49" s="21">
        <v>0</v>
      </c>
      <c r="Q49" s="21">
        <v>0</v>
      </c>
      <c r="R49" s="21">
        <v>0</v>
      </c>
      <c r="S49" s="21">
        <v>0</v>
      </c>
      <c r="T49" s="21">
        <v>0</v>
      </c>
    </row>
    <row r="50" spans="1:20" x14ac:dyDescent="0.25">
      <c r="A50" s="23">
        <v>46752</v>
      </c>
      <c r="B50" s="31">
        <v>24</v>
      </c>
      <c r="C50" s="4" t="s">
        <v>447</v>
      </c>
      <c r="D50" s="4" t="s">
        <v>448</v>
      </c>
      <c r="E50" s="9">
        <v>0</v>
      </c>
      <c r="F50" s="9">
        <v>10473.126567271313</v>
      </c>
      <c r="G50" s="9">
        <v>2052.308662621358</v>
      </c>
      <c r="H50" s="9">
        <v>0</v>
      </c>
      <c r="I50" s="9">
        <v>0</v>
      </c>
      <c r="J50" s="9">
        <v>0</v>
      </c>
      <c r="K50" s="9">
        <v>0</v>
      </c>
      <c r="L50" s="9">
        <v>0</v>
      </c>
      <c r="M50" s="9">
        <v>0</v>
      </c>
      <c r="N50" s="9">
        <v>0</v>
      </c>
      <c r="O50" s="9">
        <v>0</v>
      </c>
      <c r="P50" s="9">
        <v>10473.126567271313</v>
      </c>
      <c r="Q50" s="9">
        <v>2052.308662621358</v>
      </c>
      <c r="R50" s="9">
        <v>0</v>
      </c>
      <c r="S50" s="9">
        <v>0</v>
      </c>
      <c r="T50" s="9">
        <v>0</v>
      </c>
    </row>
    <row r="51" spans="1:20" x14ac:dyDescent="0.25">
      <c r="A51" s="24">
        <v>46783</v>
      </c>
      <c r="B51" s="30">
        <v>25</v>
      </c>
      <c r="C51" s="26" t="s">
        <v>451</v>
      </c>
      <c r="D51" s="26" t="s">
        <v>452</v>
      </c>
      <c r="E51" s="21">
        <v>12652.399700598791</v>
      </c>
      <c r="F51" s="21">
        <v>0</v>
      </c>
      <c r="G51" s="21">
        <v>0</v>
      </c>
      <c r="H51" s="21">
        <v>0</v>
      </c>
      <c r="I51" s="21">
        <v>0</v>
      </c>
      <c r="J51" s="21">
        <v>0</v>
      </c>
      <c r="K51" s="21">
        <v>0</v>
      </c>
      <c r="L51" s="21">
        <v>0</v>
      </c>
      <c r="M51" s="21">
        <v>0</v>
      </c>
      <c r="N51" s="21">
        <v>0</v>
      </c>
      <c r="O51" s="21">
        <v>0</v>
      </c>
      <c r="P51" s="21">
        <v>0</v>
      </c>
      <c r="Q51" s="21">
        <v>12652.399700598791</v>
      </c>
      <c r="R51" s="21">
        <v>0</v>
      </c>
      <c r="S51" s="21">
        <v>0</v>
      </c>
      <c r="T51" s="21">
        <v>0</v>
      </c>
    </row>
    <row r="52" spans="1:20" x14ac:dyDescent="0.25">
      <c r="A52" s="23">
        <v>46783</v>
      </c>
      <c r="B52" s="31">
        <v>25</v>
      </c>
      <c r="C52" s="4" t="s">
        <v>449</v>
      </c>
      <c r="D52" s="4" t="s">
        <v>450</v>
      </c>
      <c r="E52" s="9">
        <v>0</v>
      </c>
      <c r="F52" s="9">
        <v>0</v>
      </c>
      <c r="G52" s="9">
        <v>0</v>
      </c>
      <c r="H52" s="9">
        <v>0</v>
      </c>
      <c r="I52" s="9">
        <v>0</v>
      </c>
      <c r="J52" s="9">
        <v>12864.000000000002</v>
      </c>
      <c r="K52" s="9">
        <v>0</v>
      </c>
      <c r="L52" s="9">
        <v>0</v>
      </c>
      <c r="M52" s="9">
        <v>0</v>
      </c>
      <c r="N52" s="9">
        <v>0</v>
      </c>
      <c r="O52" s="9">
        <v>12864.000000000002</v>
      </c>
      <c r="P52" s="9">
        <v>0</v>
      </c>
      <c r="Q52" s="9">
        <v>0</v>
      </c>
      <c r="R52" s="9">
        <v>0</v>
      </c>
      <c r="S52" s="9">
        <v>0</v>
      </c>
      <c r="T52" s="9">
        <v>0</v>
      </c>
    </row>
    <row r="53" spans="1:20" x14ac:dyDescent="0.25">
      <c r="A53" s="24">
        <v>46783</v>
      </c>
      <c r="B53" s="30">
        <v>25</v>
      </c>
      <c r="C53" s="26" t="s">
        <v>447</v>
      </c>
      <c r="D53" s="26" t="s">
        <v>448</v>
      </c>
      <c r="E53" s="21">
        <v>0</v>
      </c>
      <c r="F53" s="21">
        <v>10824.582114510167</v>
      </c>
      <c r="G53" s="21">
        <v>2063.137543072474</v>
      </c>
      <c r="H53" s="21">
        <v>0</v>
      </c>
      <c r="I53" s="21">
        <v>0</v>
      </c>
      <c r="J53" s="21">
        <v>0</v>
      </c>
      <c r="K53" s="21">
        <v>0</v>
      </c>
      <c r="L53" s="21">
        <v>0</v>
      </c>
      <c r="M53" s="21">
        <v>0</v>
      </c>
      <c r="N53" s="21">
        <v>0</v>
      </c>
      <c r="O53" s="21">
        <v>0</v>
      </c>
      <c r="P53" s="21">
        <v>10824.582114510167</v>
      </c>
      <c r="Q53" s="21">
        <v>2063.137543072474</v>
      </c>
      <c r="R53" s="21">
        <v>0</v>
      </c>
      <c r="S53" s="21">
        <v>0</v>
      </c>
      <c r="T53" s="21">
        <v>0</v>
      </c>
    </row>
    <row r="54" spans="1:20" x14ac:dyDescent="0.25">
      <c r="A54" s="23">
        <v>46812</v>
      </c>
      <c r="B54" s="31">
        <v>26</v>
      </c>
      <c r="C54" s="4" t="s">
        <v>449</v>
      </c>
      <c r="D54" s="4" t="s">
        <v>450</v>
      </c>
      <c r="E54" s="9">
        <v>0</v>
      </c>
      <c r="F54" s="9">
        <v>0</v>
      </c>
      <c r="G54" s="9">
        <v>0</v>
      </c>
      <c r="H54" s="9">
        <v>0</v>
      </c>
      <c r="I54" s="9">
        <v>0</v>
      </c>
      <c r="J54" s="9">
        <v>12864.000000000002</v>
      </c>
      <c r="K54" s="9">
        <v>0</v>
      </c>
      <c r="L54" s="9">
        <v>0</v>
      </c>
      <c r="M54" s="9">
        <v>0</v>
      </c>
      <c r="N54" s="9">
        <v>0</v>
      </c>
      <c r="O54" s="9">
        <v>12864.000000000002</v>
      </c>
      <c r="P54" s="9">
        <v>0</v>
      </c>
      <c r="Q54" s="9">
        <v>0</v>
      </c>
      <c r="R54" s="9">
        <v>0</v>
      </c>
      <c r="S54" s="9">
        <v>0</v>
      </c>
      <c r="T54" s="9">
        <v>0</v>
      </c>
    </row>
    <row r="55" spans="1:20" x14ac:dyDescent="0.25">
      <c r="A55" s="24">
        <v>46812</v>
      </c>
      <c r="B55" s="30">
        <v>26</v>
      </c>
      <c r="C55" s="26" t="s">
        <v>447</v>
      </c>
      <c r="D55" s="26" t="s">
        <v>448</v>
      </c>
      <c r="E55" s="21">
        <v>0</v>
      </c>
      <c r="F55" s="21">
        <v>10824.582114510165</v>
      </c>
      <c r="G55" s="21">
        <v>2010.5637989140637</v>
      </c>
      <c r="H55" s="21">
        <v>0</v>
      </c>
      <c r="I55" s="21">
        <v>0</v>
      </c>
      <c r="J55" s="21">
        <v>0</v>
      </c>
      <c r="K55" s="21">
        <v>0</v>
      </c>
      <c r="L55" s="21">
        <v>0</v>
      </c>
      <c r="M55" s="21">
        <v>0</v>
      </c>
      <c r="N55" s="21">
        <v>0</v>
      </c>
      <c r="O55" s="21">
        <v>0</v>
      </c>
      <c r="P55" s="21">
        <v>10824.582114510165</v>
      </c>
      <c r="Q55" s="21">
        <v>2010.5637989140637</v>
      </c>
      <c r="R55" s="21">
        <v>0</v>
      </c>
      <c r="S55" s="21">
        <v>0</v>
      </c>
      <c r="T55" s="21">
        <v>0</v>
      </c>
    </row>
    <row r="56" spans="1:20" x14ac:dyDescent="0.25">
      <c r="A56" s="23">
        <v>46843</v>
      </c>
      <c r="B56" s="31">
        <v>27</v>
      </c>
      <c r="C56" s="4" t="s">
        <v>449</v>
      </c>
      <c r="D56" s="4" t="s">
        <v>450</v>
      </c>
      <c r="E56" s="9">
        <v>0</v>
      </c>
      <c r="F56" s="9">
        <v>0</v>
      </c>
      <c r="G56" s="9">
        <v>0</v>
      </c>
      <c r="H56" s="9">
        <v>0</v>
      </c>
      <c r="I56" s="9">
        <v>0</v>
      </c>
      <c r="J56" s="9">
        <v>12864.000000000002</v>
      </c>
      <c r="K56" s="9">
        <v>0</v>
      </c>
      <c r="L56" s="9">
        <v>0</v>
      </c>
      <c r="M56" s="9">
        <v>0</v>
      </c>
      <c r="N56" s="9">
        <v>0</v>
      </c>
      <c r="O56" s="9">
        <v>12864.000000000002</v>
      </c>
      <c r="P56" s="9">
        <v>0</v>
      </c>
      <c r="Q56" s="9">
        <v>0</v>
      </c>
      <c r="R56" s="9">
        <v>0</v>
      </c>
      <c r="S56" s="9">
        <v>0</v>
      </c>
      <c r="T56" s="9">
        <v>0</v>
      </c>
    </row>
    <row r="57" spans="1:20" x14ac:dyDescent="0.25">
      <c r="A57" s="24">
        <v>46843</v>
      </c>
      <c r="B57" s="30">
        <v>27</v>
      </c>
      <c r="C57" s="26" t="s">
        <v>447</v>
      </c>
      <c r="D57" s="26" t="s">
        <v>448</v>
      </c>
      <c r="E57" s="21">
        <v>0</v>
      </c>
      <c r="F57" s="21">
        <v>10824.582114510165</v>
      </c>
      <c r="G57" s="21">
        <v>1957.7341493975532</v>
      </c>
      <c r="H57" s="21">
        <v>0</v>
      </c>
      <c r="I57" s="21">
        <v>0</v>
      </c>
      <c r="J57" s="21">
        <v>0</v>
      </c>
      <c r="K57" s="21">
        <v>0</v>
      </c>
      <c r="L57" s="21">
        <v>0</v>
      </c>
      <c r="M57" s="21">
        <v>0</v>
      </c>
      <c r="N57" s="21">
        <v>0</v>
      </c>
      <c r="O57" s="21">
        <v>0</v>
      </c>
      <c r="P57" s="21">
        <v>10824.582114510165</v>
      </c>
      <c r="Q57" s="21">
        <v>1957.7341493975532</v>
      </c>
      <c r="R57" s="21">
        <v>0</v>
      </c>
      <c r="S57" s="21">
        <v>0</v>
      </c>
      <c r="T57" s="21">
        <v>0</v>
      </c>
    </row>
    <row r="58" spans="1:20" x14ac:dyDescent="0.25">
      <c r="A58" s="23">
        <v>46873</v>
      </c>
      <c r="B58" s="31">
        <v>28</v>
      </c>
      <c r="C58" s="4" t="s">
        <v>449</v>
      </c>
      <c r="D58" s="4" t="s">
        <v>450</v>
      </c>
      <c r="E58" s="9">
        <v>0</v>
      </c>
      <c r="F58" s="9">
        <v>0</v>
      </c>
      <c r="G58" s="9">
        <v>0</v>
      </c>
      <c r="H58" s="9">
        <v>0</v>
      </c>
      <c r="I58" s="9">
        <v>0</v>
      </c>
      <c r="J58" s="9">
        <v>12864.000000000002</v>
      </c>
      <c r="K58" s="9">
        <v>0</v>
      </c>
      <c r="L58" s="9">
        <v>0</v>
      </c>
      <c r="M58" s="9">
        <v>0</v>
      </c>
      <c r="N58" s="9">
        <v>0</v>
      </c>
      <c r="O58" s="9">
        <v>12864.000000000002</v>
      </c>
      <c r="P58" s="9">
        <v>0</v>
      </c>
      <c r="Q58" s="9">
        <v>0</v>
      </c>
      <c r="R58" s="9">
        <v>0</v>
      </c>
      <c r="S58" s="9">
        <v>0</v>
      </c>
      <c r="T58" s="9">
        <v>0</v>
      </c>
    </row>
    <row r="59" spans="1:20" x14ac:dyDescent="0.25">
      <c r="A59" s="24">
        <v>46873</v>
      </c>
      <c r="B59" s="30">
        <v>28</v>
      </c>
      <c r="C59" s="26" t="s">
        <v>447</v>
      </c>
      <c r="D59" s="26" t="s">
        <v>448</v>
      </c>
      <c r="E59" s="21">
        <v>0</v>
      </c>
      <c r="F59" s="21">
        <v>10824.582114510165</v>
      </c>
      <c r="G59" s="21">
        <v>1904.6473488906715</v>
      </c>
      <c r="H59" s="21">
        <v>0</v>
      </c>
      <c r="I59" s="21">
        <v>0</v>
      </c>
      <c r="J59" s="21">
        <v>0</v>
      </c>
      <c r="K59" s="21">
        <v>0</v>
      </c>
      <c r="L59" s="21">
        <v>0</v>
      </c>
      <c r="M59" s="21">
        <v>0</v>
      </c>
      <c r="N59" s="21">
        <v>0</v>
      </c>
      <c r="O59" s="21">
        <v>0</v>
      </c>
      <c r="P59" s="21">
        <v>10824.582114510165</v>
      </c>
      <c r="Q59" s="21">
        <v>1904.6473488906715</v>
      </c>
      <c r="R59" s="21">
        <v>0</v>
      </c>
      <c r="S59" s="21">
        <v>0</v>
      </c>
      <c r="T59" s="21">
        <v>0</v>
      </c>
    </row>
    <row r="60" spans="1:20" x14ac:dyDescent="0.25">
      <c r="A60" s="23">
        <v>46904</v>
      </c>
      <c r="B60" s="31">
        <v>29</v>
      </c>
      <c r="C60" s="4" t="s">
        <v>449</v>
      </c>
      <c r="D60" s="4" t="s">
        <v>450</v>
      </c>
      <c r="E60" s="9">
        <v>0</v>
      </c>
      <c r="F60" s="9">
        <v>0</v>
      </c>
      <c r="G60" s="9">
        <v>0</v>
      </c>
      <c r="H60" s="9">
        <v>0</v>
      </c>
      <c r="I60" s="9">
        <v>0</v>
      </c>
      <c r="J60" s="9">
        <v>12864.000000000002</v>
      </c>
      <c r="K60" s="9">
        <v>0</v>
      </c>
      <c r="L60" s="9">
        <v>0</v>
      </c>
      <c r="M60" s="9">
        <v>0</v>
      </c>
      <c r="N60" s="9">
        <v>0</v>
      </c>
      <c r="O60" s="9">
        <v>12864.000000000002</v>
      </c>
      <c r="P60" s="9">
        <v>0</v>
      </c>
      <c r="Q60" s="9">
        <v>0</v>
      </c>
      <c r="R60" s="9">
        <v>0</v>
      </c>
      <c r="S60" s="9">
        <v>0</v>
      </c>
      <c r="T60" s="9">
        <v>0</v>
      </c>
    </row>
    <row r="61" spans="1:20" x14ac:dyDescent="0.25">
      <c r="A61" s="24">
        <v>46904</v>
      </c>
      <c r="B61" s="30">
        <v>29</v>
      </c>
      <c r="C61" s="26" t="s">
        <v>447</v>
      </c>
      <c r="D61" s="26" t="s">
        <v>448</v>
      </c>
      <c r="E61" s="21">
        <v>0</v>
      </c>
      <c r="F61" s="21">
        <v>10824.582114510165</v>
      </c>
      <c r="G61" s="21">
        <v>1851.3021456979704</v>
      </c>
      <c r="H61" s="21">
        <v>0</v>
      </c>
      <c r="I61" s="21">
        <v>0</v>
      </c>
      <c r="J61" s="21">
        <v>0</v>
      </c>
      <c r="K61" s="21">
        <v>0</v>
      </c>
      <c r="L61" s="21">
        <v>0</v>
      </c>
      <c r="M61" s="21">
        <v>0</v>
      </c>
      <c r="N61" s="21">
        <v>0</v>
      </c>
      <c r="O61" s="21">
        <v>0</v>
      </c>
      <c r="P61" s="21">
        <v>10824.582114510165</v>
      </c>
      <c r="Q61" s="21">
        <v>1851.3021456979704</v>
      </c>
      <c r="R61" s="21">
        <v>0</v>
      </c>
      <c r="S61" s="21">
        <v>0</v>
      </c>
      <c r="T61" s="21">
        <v>0</v>
      </c>
    </row>
    <row r="62" spans="1:20" x14ac:dyDescent="0.25">
      <c r="A62" s="23">
        <v>46934</v>
      </c>
      <c r="B62" s="31">
        <v>30</v>
      </c>
      <c r="C62" s="4" t="s">
        <v>449</v>
      </c>
      <c r="D62" s="4" t="s">
        <v>450</v>
      </c>
      <c r="E62" s="9">
        <v>0</v>
      </c>
      <c r="F62" s="9">
        <v>0</v>
      </c>
      <c r="G62" s="9">
        <v>0</v>
      </c>
      <c r="H62" s="9">
        <v>0</v>
      </c>
      <c r="I62" s="9">
        <v>0</v>
      </c>
      <c r="J62" s="9">
        <v>12864.000000000002</v>
      </c>
      <c r="K62" s="9">
        <v>0</v>
      </c>
      <c r="L62" s="9">
        <v>0</v>
      </c>
      <c r="M62" s="9">
        <v>0</v>
      </c>
      <c r="N62" s="9">
        <v>0</v>
      </c>
      <c r="O62" s="9">
        <v>12864.000000000002</v>
      </c>
      <c r="P62" s="9">
        <v>0</v>
      </c>
      <c r="Q62" s="9">
        <v>0</v>
      </c>
      <c r="R62" s="9">
        <v>0</v>
      </c>
      <c r="S62" s="9">
        <v>0</v>
      </c>
      <c r="T62" s="9">
        <v>0</v>
      </c>
    </row>
    <row r="63" spans="1:20" x14ac:dyDescent="0.25">
      <c r="A63" s="24">
        <v>46934</v>
      </c>
      <c r="B63" s="30">
        <v>30</v>
      </c>
      <c r="C63" s="26" t="s">
        <v>447</v>
      </c>
      <c r="D63" s="26" t="s">
        <v>448</v>
      </c>
      <c r="E63" s="21">
        <v>0</v>
      </c>
      <c r="F63" s="21">
        <v>10824.582114510165</v>
      </c>
      <c r="G63" s="21">
        <v>1797.6972820313106</v>
      </c>
      <c r="H63" s="21">
        <v>0</v>
      </c>
      <c r="I63" s="21">
        <v>0</v>
      </c>
      <c r="J63" s="21">
        <v>0</v>
      </c>
      <c r="K63" s="21">
        <v>0</v>
      </c>
      <c r="L63" s="21">
        <v>0</v>
      </c>
      <c r="M63" s="21">
        <v>0</v>
      </c>
      <c r="N63" s="21">
        <v>0</v>
      </c>
      <c r="O63" s="21">
        <v>0</v>
      </c>
      <c r="P63" s="21">
        <v>10824.582114510165</v>
      </c>
      <c r="Q63" s="21">
        <v>1797.6972820313106</v>
      </c>
      <c r="R63" s="21">
        <v>0</v>
      </c>
      <c r="S63" s="21">
        <v>0</v>
      </c>
      <c r="T63" s="21">
        <v>0</v>
      </c>
    </row>
    <row r="64" spans="1:20" x14ac:dyDescent="0.25">
      <c r="A64" s="23">
        <v>46965</v>
      </c>
      <c r="B64" s="31">
        <v>31</v>
      </c>
      <c r="C64" s="4" t="s">
        <v>449</v>
      </c>
      <c r="D64" s="4" t="s">
        <v>450</v>
      </c>
      <c r="E64" s="9">
        <v>0</v>
      </c>
      <c r="F64" s="9">
        <v>0</v>
      </c>
      <c r="G64" s="9">
        <v>0</v>
      </c>
      <c r="H64" s="9">
        <v>0</v>
      </c>
      <c r="I64" s="9">
        <v>0</v>
      </c>
      <c r="J64" s="9">
        <v>12864.000000000002</v>
      </c>
      <c r="K64" s="9">
        <v>0</v>
      </c>
      <c r="L64" s="9">
        <v>0</v>
      </c>
      <c r="M64" s="9">
        <v>0</v>
      </c>
      <c r="N64" s="9">
        <v>0</v>
      </c>
      <c r="O64" s="9">
        <v>12864.000000000002</v>
      </c>
      <c r="P64" s="9">
        <v>0</v>
      </c>
      <c r="Q64" s="9">
        <v>0</v>
      </c>
      <c r="R64" s="9">
        <v>0</v>
      </c>
      <c r="S64" s="9">
        <v>0</v>
      </c>
      <c r="T64" s="9">
        <v>0</v>
      </c>
    </row>
    <row r="65" spans="1:20" x14ac:dyDescent="0.25">
      <c r="A65" s="24">
        <v>46965</v>
      </c>
      <c r="B65" s="30">
        <v>31</v>
      </c>
      <c r="C65" s="26" t="s">
        <v>447</v>
      </c>
      <c r="D65" s="26" t="s">
        <v>448</v>
      </c>
      <c r="E65" s="21">
        <v>0</v>
      </c>
      <c r="F65" s="21">
        <v>10824.582114510164</v>
      </c>
      <c r="G65" s="21">
        <v>1743.8314939802046</v>
      </c>
      <c r="H65" s="21">
        <v>0</v>
      </c>
      <c r="I65" s="21">
        <v>0</v>
      </c>
      <c r="J65" s="21">
        <v>0</v>
      </c>
      <c r="K65" s="21">
        <v>0</v>
      </c>
      <c r="L65" s="21">
        <v>0</v>
      </c>
      <c r="M65" s="21">
        <v>0</v>
      </c>
      <c r="N65" s="21">
        <v>0</v>
      </c>
      <c r="O65" s="21">
        <v>0</v>
      </c>
      <c r="P65" s="21">
        <v>10824.582114510164</v>
      </c>
      <c r="Q65" s="21">
        <v>1743.8314939802046</v>
      </c>
      <c r="R65" s="21">
        <v>0</v>
      </c>
      <c r="S65" s="21">
        <v>0</v>
      </c>
      <c r="T65" s="21">
        <v>0</v>
      </c>
    </row>
    <row r="66" spans="1:20" x14ac:dyDescent="0.25">
      <c r="A66" s="23">
        <v>46996</v>
      </c>
      <c r="B66" s="31">
        <v>32</v>
      </c>
      <c r="C66" s="4" t="s">
        <v>449</v>
      </c>
      <c r="D66" s="4" t="s">
        <v>450</v>
      </c>
      <c r="E66" s="9">
        <v>0</v>
      </c>
      <c r="F66" s="9">
        <v>0</v>
      </c>
      <c r="G66" s="9">
        <v>0</v>
      </c>
      <c r="H66" s="9">
        <v>0</v>
      </c>
      <c r="I66" s="9">
        <v>0</v>
      </c>
      <c r="J66" s="9">
        <v>12864.000000000002</v>
      </c>
      <c r="K66" s="9">
        <v>0</v>
      </c>
      <c r="L66" s="9">
        <v>0</v>
      </c>
      <c r="M66" s="9">
        <v>0</v>
      </c>
      <c r="N66" s="9">
        <v>0</v>
      </c>
      <c r="O66" s="9">
        <v>12864.000000000002</v>
      </c>
      <c r="P66" s="9">
        <v>0</v>
      </c>
      <c r="Q66" s="9">
        <v>0</v>
      </c>
      <c r="R66" s="9">
        <v>0</v>
      </c>
      <c r="S66" s="9">
        <v>0</v>
      </c>
      <c r="T66" s="9">
        <v>0</v>
      </c>
    </row>
    <row r="67" spans="1:20" x14ac:dyDescent="0.25">
      <c r="A67" s="24">
        <v>46996</v>
      </c>
      <c r="B67" s="30">
        <v>32</v>
      </c>
      <c r="C67" s="26" t="s">
        <v>447</v>
      </c>
      <c r="D67" s="26" t="s">
        <v>448</v>
      </c>
      <c r="E67" s="21">
        <v>0</v>
      </c>
      <c r="F67" s="21">
        <v>10824.582114510164</v>
      </c>
      <c r="G67" s="21">
        <v>1689.703511482018</v>
      </c>
      <c r="H67" s="21">
        <v>0</v>
      </c>
      <c r="I67" s="21">
        <v>0</v>
      </c>
      <c r="J67" s="21">
        <v>0</v>
      </c>
      <c r="K67" s="21">
        <v>0</v>
      </c>
      <c r="L67" s="21">
        <v>0</v>
      </c>
      <c r="M67" s="21">
        <v>0</v>
      </c>
      <c r="N67" s="21">
        <v>0</v>
      </c>
      <c r="O67" s="21">
        <v>0</v>
      </c>
      <c r="P67" s="21">
        <v>10824.582114510164</v>
      </c>
      <c r="Q67" s="21">
        <v>1689.703511482018</v>
      </c>
      <c r="R67" s="21">
        <v>0</v>
      </c>
      <c r="S67" s="21">
        <v>0</v>
      </c>
      <c r="T67" s="21">
        <v>0</v>
      </c>
    </row>
    <row r="68" spans="1:20" x14ac:dyDescent="0.25">
      <c r="A68" s="23">
        <v>47026</v>
      </c>
      <c r="B68" s="31">
        <v>33</v>
      </c>
      <c r="C68" s="4" t="s">
        <v>449</v>
      </c>
      <c r="D68" s="4" t="s">
        <v>450</v>
      </c>
      <c r="E68" s="9">
        <v>0</v>
      </c>
      <c r="F68" s="9">
        <v>0</v>
      </c>
      <c r="G68" s="9">
        <v>0</v>
      </c>
      <c r="H68" s="9">
        <v>0</v>
      </c>
      <c r="I68" s="9">
        <v>0</v>
      </c>
      <c r="J68" s="9">
        <v>12864.000000000002</v>
      </c>
      <c r="K68" s="9">
        <v>0</v>
      </c>
      <c r="L68" s="9">
        <v>0</v>
      </c>
      <c r="M68" s="9">
        <v>0</v>
      </c>
      <c r="N68" s="9">
        <v>0</v>
      </c>
      <c r="O68" s="9">
        <v>12864.000000000002</v>
      </c>
      <c r="P68" s="9">
        <v>0</v>
      </c>
      <c r="Q68" s="9">
        <v>0</v>
      </c>
      <c r="R68" s="9">
        <v>0</v>
      </c>
      <c r="S68" s="9">
        <v>0</v>
      </c>
      <c r="T68" s="9">
        <v>0</v>
      </c>
    </row>
    <row r="69" spans="1:20" x14ac:dyDescent="0.25">
      <c r="A69" s="24">
        <v>47026</v>
      </c>
      <c r="B69" s="30">
        <v>33</v>
      </c>
      <c r="C69" s="26" t="s">
        <v>447</v>
      </c>
      <c r="D69" s="26" t="s">
        <v>448</v>
      </c>
      <c r="E69" s="21">
        <v>0</v>
      </c>
      <c r="F69" s="21">
        <v>10824.582114510164</v>
      </c>
      <c r="G69" s="21">
        <v>1635.3120582920217</v>
      </c>
      <c r="H69" s="21">
        <v>0</v>
      </c>
      <c r="I69" s="21">
        <v>0</v>
      </c>
      <c r="J69" s="21">
        <v>0</v>
      </c>
      <c r="K69" s="21">
        <v>0</v>
      </c>
      <c r="L69" s="21">
        <v>0</v>
      </c>
      <c r="M69" s="21">
        <v>0</v>
      </c>
      <c r="N69" s="21">
        <v>0</v>
      </c>
      <c r="O69" s="21">
        <v>0</v>
      </c>
      <c r="P69" s="21">
        <v>10824.582114510164</v>
      </c>
      <c r="Q69" s="21">
        <v>1635.3120582920217</v>
      </c>
      <c r="R69" s="21">
        <v>0</v>
      </c>
      <c r="S69" s="21">
        <v>0</v>
      </c>
      <c r="T69" s="21">
        <v>0</v>
      </c>
    </row>
    <row r="70" spans="1:20" x14ac:dyDescent="0.25">
      <c r="A70" s="23">
        <v>47057</v>
      </c>
      <c r="B70" s="31">
        <v>34</v>
      </c>
      <c r="C70" s="4" t="s">
        <v>449</v>
      </c>
      <c r="D70" s="4" t="s">
        <v>450</v>
      </c>
      <c r="E70" s="9">
        <v>0</v>
      </c>
      <c r="F70" s="9">
        <v>0</v>
      </c>
      <c r="G70" s="9">
        <v>0</v>
      </c>
      <c r="H70" s="9">
        <v>0</v>
      </c>
      <c r="I70" s="9">
        <v>0</v>
      </c>
      <c r="J70" s="9">
        <v>12864.000000000002</v>
      </c>
      <c r="K70" s="9">
        <v>0</v>
      </c>
      <c r="L70" s="9">
        <v>0</v>
      </c>
      <c r="M70" s="9">
        <v>0</v>
      </c>
      <c r="N70" s="9">
        <v>0</v>
      </c>
      <c r="O70" s="9">
        <v>12864.000000000002</v>
      </c>
      <c r="P70" s="9">
        <v>0</v>
      </c>
      <c r="Q70" s="9">
        <v>0</v>
      </c>
      <c r="R70" s="9">
        <v>0</v>
      </c>
      <c r="S70" s="9">
        <v>0</v>
      </c>
      <c r="T70" s="9">
        <v>0</v>
      </c>
    </row>
    <row r="71" spans="1:20" x14ac:dyDescent="0.25">
      <c r="A71" s="24">
        <v>47057</v>
      </c>
      <c r="B71" s="30">
        <v>34</v>
      </c>
      <c r="C71" s="26" t="s">
        <v>447</v>
      </c>
      <c r="D71" s="26" t="s">
        <v>448</v>
      </c>
      <c r="E71" s="21">
        <v>0</v>
      </c>
      <c r="F71" s="21">
        <v>10824.582114510162</v>
      </c>
      <c r="G71" s="21">
        <v>1580.6558519533003</v>
      </c>
      <c r="H71" s="21">
        <v>0</v>
      </c>
      <c r="I71" s="21">
        <v>0</v>
      </c>
      <c r="J71" s="21">
        <v>0</v>
      </c>
      <c r="K71" s="21">
        <v>0</v>
      </c>
      <c r="L71" s="21">
        <v>0</v>
      </c>
      <c r="M71" s="21">
        <v>0</v>
      </c>
      <c r="N71" s="21">
        <v>0</v>
      </c>
      <c r="O71" s="21">
        <v>0</v>
      </c>
      <c r="P71" s="21">
        <v>10824.582114510162</v>
      </c>
      <c r="Q71" s="21">
        <v>1580.6558519533003</v>
      </c>
      <c r="R71" s="21">
        <v>0</v>
      </c>
      <c r="S71" s="21">
        <v>0</v>
      </c>
      <c r="T71" s="21">
        <v>0</v>
      </c>
    </row>
    <row r="72" spans="1:20" x14ac:dyDescent="0.25">
      <c r="A72" s="23">
        <v>47087</v>
      </c>
      <c r="B72" s="31">
        <v>35</v>
      </c>
      <c r="C72" s="4" t="s">
        <v>449</v>
      </c>
      <c r="D72" s="4" t="s">
        <v>450</v>
      </c>
      <c r="E72" s="9">
        <v>0</v>
      </c>
      <c r="F72" s="9">
        <v>0</v>
      </c>
      <c r="G72" s="9">
        <v>0</v>
      </c>
      <c r="H72" s="9">
        <v>0</v>
      </c>
      <c r="I72" s="9">
        <v>0</v>
      </c>
      <c r="J72" s="9">
        <v>12864.000000000002</v>
      </c>
      <c r="K72" s="9">
        <v>0</v>
      </c>
      <c r="L72" s="9">
        <v>0</v>
      </c>
      <c r="M72" s="9">
        <v>0</v>
      </c>
      <c r="N72" s="9">
        <v>0</v>
      </c>
      <c r="O72" s="9">
        <v>12864.000000000002</v>
      </c>
      <c r="P72" s="9">
        <v>0</v>
      </c>
      <c r="Q72" s="9">
        <v>0</v>
      </c>
      <c r="R72" s="9">
        <v>0</v>
      </c>
      <c r="S72" s="9">
        <v>0</v>
      </c>
      <c r="T72" s="9">
        <v>0</v>
      </c>
    </row>
    <row r="73" spans="1:20" x14ac:dyDescent="0.25">
      <c r="A73" s="24">
        <v>47087</v>
      </c>
      <c r="B73" s="30">
        <v>35</v>
      </c>
      <c r="C73" s="26" t="s">
        <v>447</v>
      </c>
      <c r="D73" s="26" t="s">
        <v>448</v>
      </c>
      <c r="E73" s="21">
        <v>0</v>
      </c>
      <c r="F73" s="21">
        <v>10824.582114510162</v>
      </c>
      <c r="G73" s="21">
        <v>1525.7336037665154</v>
      </c>
      <c r="H73" s="21">
        <v>0</v>
      </c>
      <c r="I73" s="21">
        <v>0</v>
      </c>
      <c r="J73" s="21">
        <v>0</v>
      </c>
      <c r="K73" s="21">
        <v>0</v>
      </c>
      <c r="L73" s="21">
        <v>0</v>
      </c>
      <c r="M73" s="21">
        <v>0</v>
      </c>
      <c r="N73" s="21">
        <v>0</v>
      </c>
      <c r="O73" s="21">
        <v>0</v>
      </c>
      <c r="P73" s="21">
        <v>10824.582114510162</v>
      </c>
      <c r="Q73" s="21">
        <v>1525.7336037665154</v>
      </c>
      <c r="R73" s="21">
        <v>0</v>
      </c>
      <c r="S73" s="21">
        <v>0</v>
      </c>
      <c r="T73" s="21">
        <v>0</v>
      </c>
    </row>
    <row r="74" spans="1:20" x14ac:dyDescent="0.25">
      <c r="A74" s="23">
        <v>47118</v>
      </c>
      <c r="B74" s="31">
        <v>36</v>
      </c>
      <c r="C74" s="4" t="s">
        <v>449</v>
      </c>
      <c r="D74" s="4" t="s">
        <v>450</v>
      </c>
      <c r="E74" s="9">
        <v>0</v>
      </c>
      <c r="F74" s="9">
        <v>0</v>
      </c>
      <c r="G74" s="9">
        <v>0</v>
      </c>
      <c r="H74" s="9">
        <v>0</v>
      </c>
      <c r="I74" s="9">
        <v>0</v>
      </c>
      <c r="J74" s="9">
        <v>12864.000000000002</v>
      </c>
      <c r="K74" s="9">
        <v>0</v>
      </c>
      <c r="L74" s="9">
        <v>0</v>
      </c>
      <c r="M74" s="9">
        <v>0</v>
      </c>
      <c r="N74" s="9">
        <v>0</v>
      </c>
      <c r="O74" s="9">
        <v>12864.000000000002</v>
      </c>
      <c r="P74" s="9">
        <v>0</v>
      </c>
      <c r="Q74" s="9">
        <v>0</v>
      </c>
      <c r="R74" s="9">
        <v>0</v>
      </c>
      <c r="S74" s="9">
        <v>0</v>
      </c>
      <c r="T74" s="9">
        <v>0</v>
      </c>
    </row>
    <row r="75" spans="1:20" x14ac:dyDescent="0.25">
      <c r="A75" s="24">
        <v>47118</v>
      </c>
      <c r="B75" s="30">
        <v>36</v>
      </c>
      <c r="C75" s="26" t="s">
        <v>447</v>
      </c>
      <c r="D75" s="26" t="s">
        <v>448</v>
      </c>
      <c r="E75" s="21">
        <v>0</v>
      </c>
      <c r="F75" s="21">
        <v>10824.582114510162</v>
      </c>
      <c r="G75" s="21">
        <v>1470.5440187595193</v>
      </c>
      <c r="H75" s="21">
        <v>0</v>
      </c>
      <c r="I75" s="21">
        <v>0</v>
      </c>
      <c r="J75" s="21">
        <v>0</v>
      </c>
      <c r="K75" s="21">
        <v>0</v>
      </c>
      <c r="L75" s="21">
        <v>0</v>
      </c>
      <c r="M75" s="21">
        <v>0</v>
      </c>
      <c r="N75" s="21">
        <v>0</v>
      </c>
      <c r="O75" s="21">
        <v>0</v>
      </c>
      <c r="P75" s="21">
        <v>10824.582114510162</v>
      </c>
      <c r="Q75" s="21">
        <v>1470.5440187595193</v>
      </c>
      <c r="R75" s="21">
        <v>0</v>
      </c>
      <c r="S75" s="21">
        <v>0</v>
      </c>
      <c r="T75" s="21">
        <v>0</v>
      </c>
    </row>
    <row r="76" spans="1:20" x14ac:dyDescent="0.25">
      <c r="A76" s="23">
        <v>47149</v>
      </c>
      <c r="B76" s="31">
        <v>37</v>
      </c>
      <c r="C76" s="4" t="s">
        <v>451</v>
      </c>
      <c r="D76" s="4" t="s">
        <v>452</v>
      </c>
      <c r="E76" s="9">
        <v>8949.349199270247</v>
      </c>
      <c r="F76" s="9">
        <v>0</v>
      </c>
      <c r="G76" s="9">
        <v>0</v>
      </c>
      <c r="H76" s="9">
        <v>0</v>
      </c>
      <c r="I76" s="9">
        <v>0</v>
      </c>
      <c r="J76" s="9">
        <v>0</v>
      </c>
      <c r="K76" s="9">
        <v>0</v>
      </c>
      <c r="L76" s="9">
        <v>0</v>
      </c>
      <c r="M76" s="9">
        <v>0</v>
      </c>
      <c r="N76" s="9">
        <v>0</v>
      </c>
      <c r="O76" s="9">
        <v>0</v>
      </c>
      <c r="P76" s="9">
        <v>0</v>
      </c>
      <c r="Q76" s="9">
        <v>8949.349199270247</v>
      </c>
      <c r="R76" s="9">
        <v>0</v>
      </c>
      <c r="S76" s="9">
        <v>0</v>
      </c>
      <c r="T76" s="9">
        <v>0</v>
      </c>
    </row>
    <row r="77" spans="1:20" x14ac:dyDescent="0.25">
      <c r="A77" s="24">
        <v>47149</v>
      </c>
      <c r="B77" s="30">
        <v>37</v>
      </c>
      <c r="C77" s="26" t="s">
        <v>449</v>
      </c>
      <c r="D77" s="26" t="s">
        <v>450</v>
      </c>
      <c r="E77" s="21">
        <v>0</v>
      </c>
      <c r="F77" s="21">
        <v>0</v>
      </c>
      <c r="G77" s="21">
        <v>0</v>
      </c>
      <c r="H77" s="21">
        <v>0</v>
      </c>
      <c r="I77" s="21">
        <v>0</v>
      </c>
      <c r="J77" s="21">
        <v>13260</v>
      </c>
      <c r="K77" s="21">
        <v>0</v>
      </c>
      <c r="L77" s="21">
        <v>0</v>
      </c>
      <c r="M77" s="21">
        <v>0</v>
      </c>
      <c r="N77" s="21">
        <v>0</v>
      </c>
      <c r="O77" s="21">
        <v>13260</v>
      </c>
      <c r="P77" s="21">
        <v>0</v>
      </c>
      <c r="Q77" s="21">
        <v>0</v>
      </c>
      <c r="R77" s="21">
        <v>0</v>
      </c>
      <c r="S77" s="21">
        <v>0</v>
      </c>
      <c r="T77" s="21">
        <v>0</v>
      </c>
    </row>
    <row r="78" spans="1:20" x14ac:dyDescent="0.25">
      <c r="A78" s="23">
        <v>47149</v>
      </c>
      <c r="B78" s="31">
        <v>37</v>
      </c>
      <c r="C78" s="4" t="s">
        <v>447</v>
      </c>
      <c r="D78" s="4" t="s">
        <v>448</v>
      </c>
      <c r="E78" s="9">
        <v>0</v>
      </c>
      <c r="F78" s="9">
        <v>11197.471664479754</v>
      </c>
      <c r="G78" s="9">
        <v>1458.6472054111812</v>
      </c>
      <c r="H78" s="9">
        <v>0</v>
      </c>
      <c r="I78" s="9">
        <v>0</v>
      </c>
      <c r="J78" s="9">
        <v>0</v>
      </c>
      <c r="K78" s="9">
        <v>0</v>
      </c>
      <c r="L78" s="9">
        <v>0</v>
      </c>
      <c r="M78" s="9">
        <v>0</v>
      </c>
      <c r="N78" s="9">
        <v>0</v>
      </c>
      <c r="O78" s="9">
        <v>0</v>
      </c>
      <c r="P78" s="9">
        <v>11197.471664479754</v>
      </c>
      <c r="Q78" s="9">
        <v>1458.6472054111812</v>
      </c>
      <c r="R78" s="9">
        <v>0</v>
      </c>
      <c r="S78" s="9">
        <v>0</v>
      </c>
      <c r="T78" s="9">
        <v>0</v>
      </c>
    </row>
    <row r="79" spans="1:20" x14ac:dyDescent="0.25">
      <c r="A79" s="24">
        <v>47177</v>
      </c>
      <c r="B79" s="30">
        <v>38</v>
      </c>
      <c r="C79" s="26" t="s">
        <v>449</v>
      </c>
      <c r="D79" s="26" t="s">
        <v>450</v>
      </c>
      <c r="E79" s="21">
        <v>0</v>
      </c>
      <c r="F79" s="21">
        <v>0</v>
      </c>
      <c r="G79" s="21">
        <v>0</v>
      </c>
      <c r="H79" s="21">
        <v>0</v>
      </c>
      <c r="I79" s="21">
        <v>0</v>
      </c>
      <c r="J79" s="21">
        <v>13260</v>
      </c>
      <c r="K79" s="21">
        <v>0</v>
      </c>
      <c r="L79" s="21">
        <v>0</v>
      </c>
      <c r="M79" s="21">
        <v>0</v>
      </c>
      <c r="N79" s="21">
        <v>0</v>
      </c>
      <c r="O79" s="21">
        <v>13260</v>
      </c>
      <c r="P79" s="21">
        <v>0</v>
      </c>
      <c r="Q79" s="21">
        <v>0</v>
      </c>
      <c r="R79" s="21">
        <v>0</v>
      </c>
      <c r="S79" s="21">
        <v>0</v>
      </c>
      <c r="T79" s="21">
        <v>0</v>
      </c>
    </row>
    <row r="80" spans="1:20" x14ac:dyDescent="0.25">
      <c r="A80" s="23">
        <v>47177</v>
      </c>
      <c r="B80" s="31">
        <v>38</v>
      </c>
      <c r="C80" s="4" t="s">
        <v>447</v>
      </c>
      <c r="D80" s="4" t="s">
        <v>448</v>
      </c>
      <c r="E80" s="9">
        <v>0</v>
      </c>
      <c r="F80" s="9">
        <v>11197.471664479754</v>
      </c>
      <c r="G80" s="9">
        <v>1401.2035239440675</v>
      </c>
      <c r="H80" s="9">
        <v>0</v>
      </c>
      <c r="I80" s="9">
        <v>0</v>
      </c>
      <c r="J80" s="9">
        <v>0</v>
      </c>
      <c r="K80" s="9">
        <v>0</v>
      </c>
      <c r="L80" s="9">
        <v>0</v>
      </c>
      <c r="M80" s="9">
        <v>0</v>
      </c>
      <c r="N80" s="9">
        <v>0</v>
      </c>
      <c r="O80" s="9">
        <v>0</v>
      </c>
      <c r="P80" s="9">
        <v>11197.471664479754</v>
      </c>
      <c r="Q80" s="9">
        <v>1401.2035239440675</v>
      </c>
      <c r="R80" s="9">
        <v>0</v>
      </c>
      <c r="S80" s="9">
        <v>0</v>
      </c>
      <c r="T80" s="9">
        <v>0</v>
      </c>
    </row>
    <row r="81" spans="1:20" x14ac:dyDescent="0.25">
      <c r="A81" s="24">
        <v>47208</v>
      </c>
      <c r="B81" s="30">
        <v>39</v>
      </c>
      <c r="C81" s="26" t="s">
        <v>449</v>
      </c>
      <c r="D81" s="26" t="s">
        <v>450</v>
      </c>
      <c r="E81" s="21">
        <v>0</v>
      </c>
      <c r="F81" s="21">
        <v>0</v>
      </c>
      <c r="G81" s="21">
        <v>0</v>
      </c>
      <c r="H81" s="21">
        <v>0</v>
      </c>
      <c r="I81" s="21">
        <v>0</v>
      </c>
      <c r="J81" s="21">
        <v>13260</v>
      </c>
      <c r="K81" s="21">
        <v>0</v>
      </c>
      <c r="L81" s="21">
        <v>0</v>
      </c>
      <c r="M81" s="21">
        <v>0</v>
      </c>
      <c r="N81" s="21">
        <v>0</v>
      </c>
      <c r="O81" s="21">
        <v>13260</v>
      </c>
      <c r="P81" s="21">
        <v>0</v>
      </c>
      <c r="Q81" s="21">
        <v>0</v>
      </c>
      <c r="R81" s="21">
        <v>0</v>
      </c>
      <c r="S81" s="21">
        <v>0</v>
      </c>
      <c r="T81" s="21">
        <v>0</v>
      </c>
    </row>
    <row r="82" spans="1:20" x14ac:dyDescent="0.25">
      <c r="A82" s="23">
        <v>47208</v>
      </c>
      <c r="B82" s="31">
        <v>39</v>
      </c>
      <c r="C82" s="4" t="s">
        <v>447</v>
      </c>
      <c r="D82" s="4" t="s">
        <v>448</v>
      </c>
      <c r="E82" s="9">
        <v>0</v>
      </c>
      <c r="F82" s="9">
        <v>11197.471664479754</v>
      </c>
      <c r="G82" s="9">
        <v>1343.4802324527534</v>
      </c>
      <c r="H82" s="9">
        <v>0</v>
      </c>
      <c r="I82" s="9">
        <v>0</v>
      </c>
      <c r="J82" s="9">
        <v>0</v>
      </c>
      <c r="K82" s="9">
        <v>0</v>
      </c>
      <c r="L82" s="9">
        <v>0</v>
      </c>
      <c r="M82" s="9">
        <v>0</v>
      </c>
      <c r="N82" s="9">
        <v>0</v>
      </c>
      <c r="O82" s="9">
        <v>0</v>
      </c>
      <c r="P82" s="9">
        <v>11197.471664479754</v>
      </c>
      <c r="Q82" s="9">
        <v>1343.4802324527534</v>
      </c>
      <c r="R82" s="9">
        <v>0</v>
      </c>
      <c r="S82" s="9">
        <v>0</v>
      </c>
      <c r="T82" s="9">
        <v>0</v>
      </c>
    </row>
    <row r="83" spans="1:20" x14ac:dyDescent="0.25">
      <c r="A83" s="24">
        <v>47238</v>
      </c>
      <c r="B83" s="30">
        <v>40</v>
      </c>
      <c r="C83" s="26" t="s">
        <v>449</v>
      </c>
      <c r="D83" s="26" t="s">
        <v>450</v>
      </c>
      <c r="E83" s="21">
        <v>0</v>
      </c>
      <c r="F83" s="21">
        <v>0</v>
      </c>
      <c r="G83" s="21">
        <v>0</v>
      </c>
      <c r="H83" s="21">
        <v>0</v>
      </c>
      <c r="I83" s="21">
        <v>0</v>
      </c>
      <c r="J83" s="21">
        <v>13260</v>
      </c>
      <c r="K83" s="21">
        <v>0</v>
      </c>
      <c r="L83" s="21">
        <v>0</v>
      </c>
      <c r="M83" s="21">
        <v>0</v>
      </c>
      <c r="N83" s="21">
        <v>0</v>
      </c>
      <c r="O83" s="21">
        <v>13260</v>
      </c>
      <c r="P83" s="21">
        <v>0</v>
      </c>
      <c r="Q83" s="21">
        <v>0</v>
      </c>
      <c r="R83" s="21">
        <v>0</v>
      </c>
      <c r="S83" s="21">
        <v>0</v>
      </c>
      <c r="T83" s="21">
        <v>0</v>
      </c>
    </row>
    <row r="84" spans="1:20" x14ac:dyDescent="0.25">
      <c r="A84" s="23">
        <v>47238</v>
      </c>
      <c r="B84" s="31">
        <v>40</v>
      </c>
      <c r="C84" s="4" t="s">
        <v>447</v>
      </c>
      <c r="D84" s="4" t="s">
        <v>448</v>
      </c>
      <c r="E84" s="9">
        <v>0</v>
      </c>
      <c r="F84" s="9">
        <v>11197.471664479754</v>
      </c>
      <c r="G84" s="9">
        <v>1285.475969921307</v>
      </c>
      <c r="H84" s="9">
        <v>0</v>
      </c>
      <c r="I84" s="9">
        <v>0</v>
      </c>
      <c r="J84" s="9">
        <v>0</v>
      </c>
      <c r="K84" s="9">
        <v>0</v>
      </c>
      <c r="L84" s="9">
        <v>0</v>
      </c>
      <c r="M84" s="9">
        <v>0</v>
      </c>
      <c r="N84" s="9">
        <v>0</v>
      </c>
      <c r="O84" s="9">
        <v>0</v>
      </c>
      <c r="P84" s="9">
        <v>11197.471664479754</v>
      </c>
      <c r="Q84" s="9">
        <v>1285.475969921307</v>
      </c>
      <c r="R84" s="9">
        <v>0</v>
      </c>
      <c r="S84" s="9">
        <v>0</v>
      </c>
      <c r="T84" s="9">
        <v>0</v>
      </c>
    </row>
    <row r="85" spans="1:20" x14ac:dyDescent="0.25">
      <c r="A85" s="24">
        <v>47269</v>
      </c>
      <c r="B85" s="30">
        <v>41</v>
      </c>
      <c r="C85" s="26" t="s">
        <v>449</v>
      </c>
      <c r="D85" s="26" t="s">
        <v>450</v>
      </c>
      <c r="E85" s="21">
        <v>0</v>
      </c>
      <c r="F85" s="21">
        <v>0</v>
      </c>
      <c r="G85" s="21">
        <v>0</v>
      </c>
      <c r="H85" s="21">
        <v>0</v>
      </c>
      <c r="I85" s="21">
        <v>0</v>
      </c>
      <c r="J85" s="21">
        <v>13260</v>
      </c>
      <c r="K85" s="21">
        <v>0</v>
      </c>
      <c r="L85" s="21">
        <v>0</v>
      </c>
      <c r="M85" s="21">
        <v>0</v>
      </c>
      <c r="N85" s="21">
        <v>0</v>
      </c>
      <c r="O85" s="21">
        <v>13260</v>
      </c>
      <c r="P85" s="21">
        <v>0</v>
      </c>
      <c r="Q85" s="21">
        <v>0</v>
      </c>
      <c r="R85" s="21">
        <v>0</v>
      </c>
      <c r="S85" s="21">
        <v>0</v>
      </c>
      <c r="T85" s="21">
        <v>0</v>
      </c>
    </row>
    <row r="86" spans="1:20" x14ac:dyDescent="0.25">
      <c r="A86" s="23">
        <v>47269</v>
      </c>
      <c r="B86" s="31">
        <v>41</v>
      </c>
      <c r="C86" s="4" t="s">
        <v>447</v>
      </c>
      <c r="D86" s="4" t="s">
        <v>448</v>
      </c>
      <c r="E86" s="9">
        <v>0</v>
      </c>
      <c r="F86" s="9">
        <v>11197.471664479754</v>
      </c>
      <c r="G86" s="9">
        <v>1227.1893687089837</v>
      </c>
      <c r="H86" s="9">
        <v>0</v>
      </c>
      <c r="I86" s="9">
        <v>0</v>
      </c>
      <c r="J86" s="9">
        <v>0</v>
      </c>
      <c r="K86" s="9">
        <v>0</v>
      </c>
      <c r="L86" s="9">
        <v>0</v>
      </c>
      <c r="M86" s="9">
        <v>0</v>
      </c>
      <c r="N86" s="9">
        <v>0</v>
      </c>
      <c r="O86" s="9">
        <v>0</v>
      </c>
      <c r="P86" s="9">
        <v>11197.471664479754</v>
      </c>
      <c r="Q86" s="9">
        <v>1227.1893687089837</v>
      </c>
      <c r="R86" s="9">
        <v>0</v>
      </c>
      <c r="S86" s="9">
        <v>0</v>
      </c>
      <c r="T86" s="9">
        <v>0</v>
      </c>
    </row>
    <row r="87" spans="1:20" x14ac:dyDescent="0.25">
      <c r="A87" s="24">
        <v>47299</v>
      </c>
      <c r="B87" s="30">
        <v>42</v>
      </c>
      <c r="C87" s="26" t="s">
        <v>449</v>
      </c>
      <c r="D87" s="26" t="s">
        <v>450</v>
      </c>
      <c r="E87" s="21">
        <v>0</v>
      </c>
      <c r="F87" s="21">
        <v>0</v>
      </c>
      <c r="G87" s="21">
        <v>0</v>
      </c>
      <c r="H87" s="21">
        <v>0</v>
      </c>
      <c r="I87" s="21">
        <v>0</v>
      </c>
      <c r="J87" s="21">
        <v>13260</v>
      </c>
      <c r="K87" s="21">
        <v>0</v>
      </c>
      <c r="L87" s="21">
        <v>0</v>
      </c>
      <c r="M87" s="21">
        <v>0</v>
      </c>
      <c r="N87" s="21">
        <v>0</v>
      </c>
      <c r="O87" s="21">
        <v>13260</v>
      </c>
      <c r="P87" s="21">
        <v>0</v>
      </c>
      <c r="Q87" s="21">
        <v>0</v>
      </c>
      <c r="R87" s="21">
        <v>0</v>
      </c>
      <c r="S87" s="21">
        <v>0</v>
      </c>
      <c r="T87" s="21">
        <v>0</v>
      </c>
    </row>
    <row r="88" spans="1:20" x14ac:dyDescent="0.25">
      <c r="A88" s="23">
        <v>47299</v>
      </c>
      <c r="B88" s="31">
        <v>42</v>
      </c>
      <c r="C88" s="4" t="s">
        <v>447</v>
      </c>
      <c r="D88" s="4" t="s">
        <v>448</v>
      </c>
      <c r="E88" s="9">
        <v>0</v>
      </c>
      <c r="F88" s="9">
        <v>11197.471664479752</v>
      </c>
      <c r="G88" s="9">
        <v>1168.6190545179775</v>
      </c>
      <c r="H88" s="9">
        <v>0</v>
      </c>
      <c r="I88" s="9">
        <v>0</v>
      </c>
      <c r="J88" s="9">
        <v>0</v>
      </c>
      <c r="K88" s="9">
        <v>0</v>
      </c>
      <c r="L88" s="9">
        <v>0</v>
      </c>
      <c r="M88" s="9">
        <v>0</v>
      </c>
      <c r="N88" s="9">
        <v>0</v>
      </c>
      <c r="O88" s="9">
        <v>0</v>
      </c>
      <c r="P88" s="9">
        <v>11197.471664479752</v>
      </c>
      <c r="Q88" s="9">
        <v>1168.6190545179775</v>
      </c>
      <c r="R88" s="9">
        <v>0</v>
      </c>
      <c r="S88" s="9">
        <v>0</v>
      </c>
      <c r="T88" s="9">
        <v>0</v>
      </c>
    </row>
    <row r="89" spans="1:20" x14ac:dyDescent="0.25">
      <c r="A89" s="24">
        <v>47330</v>
      </c>
      <c r="B89" s="30">
        <v>43</v>
      </c>
      <c r="C89" s="26" t="s">
        <v>449</v>
      </c>
      <c r="D89" s="26" t="s">
        <v>450</v>
      </c>
      <c r="E89" s="21">
        <v>0</v>
      </c>
      <c r="F89" s="21">
        <v>0</v>
      </c>
      <c r="G89" s="21">
        <v>0</v>
      </c>
      <c r="H89" s="21">
        <v>0</v>
      </c>
      <c r="I89" s="21">
        <v>0</v>
      </c>
      <c r="J89" s="21">
        <v>13260</v>
      </c>
      <c r="K89" s="21">
        <v>0</v>
      </c>
      <c r="L89" s="21">
        <v>0</v>
      </c>
      <c r="M89" s="21">
        <v>0</v>
      </c>
      <c r="N89" s="21">
        <v>0</v>
      </c>
      <c r="O89" s="21">
        <v>13260</v>
      </c>
      <c r="P89" s="21">
        <v>0</v>
      </c>
      <c r="Q89" s="21">
        <v>0</v>
      </c>
      <c r="R89" s="21">
        <v>0</v>
      </c>
      <c r="S89" s="21">
        <v>0</v>
      </c>
      <c r="T89" s="21">
        <v>0</v>
      </c>
    </row>
    <row r="90" spans="1:20" x14ac:dyDescent="0.25">
      <c r="A90" s="23">
        <v>47330</v>
      </c>
      <c r="B90" s="31">
        <v>43</v>
      </c>
      <c r="C90" s="4" t="s">
        <v>447</v>
      </c>
      <c r="D90" s="4" t="s">
        <v>448</v>
      </c>
      <c r="E90" s="9">
        <v>0</v>
      </c>
      <c r="F90" s="9">
        <v>11197.471664479752</v>
      </c>
      <c r="G90" s="9">
        <v>1109.7636463610181</v>
      </c>
      <c r="H90" s="9">
        <v>0</v>
      </c>
      <c r="I90" s="9">
        <v>0</v>
      </c>
      <c r="J90" s="9">
        <v>0</v>
      </c>
      <c r="K90" s="9">
        <v>0</v>
      </c>
      <c r="L90" s="9">
        <v>0</v>
      </c>
      <c r="M90" s="9">
        <v>0</v>
      </c>
      <c r="N90" s="9">
        <v>0</v>
      </c>
      <c r="O90" s="9">
        <v>0</v>
      </c>
      <c r="P90" s="9">
        <v>11197.471664479752</v>
      </c>
      <c r="Q90" s="9">
        <v>1109.7636463610181</v>
      </c>
      <c r="R90" s="9">
        <v>0</v>
      </c>
      <c r="S90" s="9">
        <v>0</v>
      </c>
      <c r="T90" s="9">
        <v>0</v>
      </c>
    </row>
    <row r="91" spans="1:20" x14ac:dyDescent="0.25">
      <c r="A91" s="24">
        <v>47361</v>
      </c>
      <c r="B91" s="30">
        <v>44</v>
      </c>
      <c r="C91" s="26" t="s">
        <v>449</v>
      </c>
      <c r="D91" s="26" t="s">
        <v>450</v>
      </c>
      <c r="E91" s="21">
        <v>0</v>
      </c>
      <c r="F91" s="21">
        <v>0</v>
      </c>
      <c r="G91" s="21">
        <v>0</v>
      </c>
      <c r="H91" s="21">
        <v>0</v>
      </c>
      <c r="I91" s="21">
        <v>0</v>
      </c>
      <c r="J91" s="21">
        <v>13260</v>
      </c>
      <c r="K91" s="21">
        <v>0</v>
      </c>
      <c r="L91" s="21">
        <v>0</v>
      </c>
      <c r="M91" s="21">
        <v>0</v>
      </c>
      <c r="N91" s="21">
        <v>0</v>
      </c>
      <c r="O91" s="21">
        <v>13260</v>
      </c>
      <c r="P91" s="21">
        <v>0</v>
      </c>
      <c r="Q91" s="21">
        <v>0</v>
      </c>
      <c r="R91" s="21">
        <v>0</v>
      </c>
      <c r="S91" s="21">
        <v>0</v>
      </c>
      <c r="T91" s="21">
        <v>0</v>
      </c>
    </row>
    <row r="92" spans="1:20" x14ac:dyDescent="0.25">
      <c r="A92" s="23">
        <v>47361</v>
      </c>
      <c r="B92" s="31">
        <v>44</v>
      </c>
      <c r="C92" s="4" t="s">
        <v>447</v>
      </c>
      <c r="D92" s="4" t="s">
        <v>448</v>
      </c>
      <c r="E92" s="9">
        <v>0</v>
      </c>
      <c r="F92" s="9">
        <v>11197.471664479752</v>
      </c>
      <c r="G92" s="9">
        <v>1050.6217565288111</v>
      </c>
      <c r="H92" s="9">
        <v>0</v>
      </c>
      <c r="I92" s="9">
        <v>0</v>
      </c>
      <c r="J92" s="9">
        <v>0</v>
      </c>
      <c r="K92" s="9">
        <v>0</v>
      </c>
      <c r="L92" s="9">
        <v>0</v>
      </c>
      <c r="M92" s="9">
        <v>0</v>
      </c>
      <c r="N92" s="9">
        <v>0</v>
      </c>
      <c r="O92" s="9">
        <v>0</v>
      </c>
      <c r="P92" s="9">
        <v>11197.471664479752</v>
      </c>
      <c r="Q92" s="9">
        <v>1050.6217565288111</v>
      </c>
      <c r="R92" s="9">
        <v>0</v>
      </c>
      <c r="S92" s="9">
        <v>0</v>
      </c>
      <c r="T92" s="9">
        <v>0</v>
      </c>
    </row>
    <row r="93" spans="1:20" x14ac:dyDescent="0.25">
      <c r="A93" s="24">
        <v>47391</v>
      </c>
      <c r="B93" s="30">
        <v>45</v>
      </c>
      <c r="C93" s="26" t="s">
        <v>449</v>
      </c>
      <c r="D93" s="26" t="s">
        <v>450</v>
      </c>
      <c r="E93" s="21">
        <v>0</v>
      </c>
      <c r="F93" s="21">
        <v>0</v>
      </c>
      <c r="G93" s="21">
        <v>0</v>
      </c>
      <c r="H93" s="21">
        <v>0</v>
      </c>
      <c r="I93" s="21">
        <v>0</v>
      </c>
      <c r="J93" s="21">
        <v>13260</v>
      </c>
      <c r="K93" s="21">
        <v>0</v>
      </c>
      <c r="L93" s="21">
        <v>0</v>
      </c>
      <c r="M93" s="21">
        <v>0</v>
      </c>
      <c r="N93" s="21">
        <v>0</v>
      </c>
      <c r="O93" s="21">
        <v>13260</v>
      </c>
      <c r="P93" s="21">
        <v>0</v>
      </c>
      <c r="Q93" s="21">
        <v>0</v>
      </c>
      <c r="R93" s="21">
        <v>0</v>
      </c>
      <c r="S93" s="21">
        <v>0</v>
      </c>
      <c r="T93" s="21">
        <v>0</v>
      </c>
    </row>
    <row r="94" spans="1:20" x14ac:dyDescent="0.25">
      <c r="A94" s="23">
        <v>47391</v>
      </c>
      <c r="B94" s="31">
        <v>45</v>
      </c>
      <c r="C94" s="4" t="s">
        <v>447</v>
      </c>
      <c r="D94" s="4" t="s">
        <v>448</v>
      </c>
      <c r="E94" s="9">
        <v>0</v>
      </c>
      <c r="F94" s="9">
        <v>11197.471664479752</v>
      </c>
      <c r="G94" s="9">
        <v>991.1919905573158</v>
      </c>
      <c r="H94" s="9">
        <v>0</v>
      </c>
      <c r="I94" s="9">
        <v>0</v>
      </c>
      <c r="J94" s="9">
        <v>0</v>
      </c>
      <c r="K94" s="9">
        <v>0</v>
      </c>
      <c r="L94" s="9">
        <v>0</v>
      </c>
      <c r="M94" s="9">
        <v>0</v>
      </c>
      <c r="N94" s="9">
        <v>0</v>
      </c>
      <c r="O94" s="9">
        <v>0</v>
      </c>
      <c r="P94" s="9">
        <v>11197.471664479752</v>
      </c>
      <c r="Q94" s="9">
        <v>991.1919905573158</v>
      </c>
      <c r="R94" s="9">
        <v>0</v>
      </c>
      <c r="S94" s="9">
        <v>0</v>
      </c>
      <c r="T94" s="9">
        <v>0</v>
      </c>
    </row>
    <row r="95" spans="1:20" x14ac:dyDescent="0.25">
      <c r="A95" s="24">
        <v>47422</v>
      </c>
      <c r="B95" s="30">
        <v>46</v>
      </c>
      <c r="C95" s="26" t="s">
        <v>449</v>
      </c>
      <c r="D95" s="26" t="s">
        <v>450</v>
      </c>
      <c r="E95" s="21">
        <v>0</v>
      </c>
      <c r="F95" s="21">
        <v>0</v>
      </c>
      <c r="G95" s="21">
        <v>0</v>
      </c>
      <c r="H95" s="21">
        <v>0</v>
      </c>
      <c r="I95" s="21">
        <v>0</v>
      </c>
      <c r="J95" s="21">
        <v>13260</v>
      </c>
      <c r="K95" s="21">
        <v>0</v>
      </c>
      <c r="L95" s="21">
        <v>0</v>
      </c>
      <c r="M95" s="21">
        <v>0</v>
      </c>
      <c r="N95" s="21">
        <v>0</v>
      </c>
      <c r="O95" s="21">
        <v>13260</v>
      </c>
      <c r="P95" s="21">
        <v>0</v>
      </c>
      <c r="Q95" s="21">
        <v>0</v>
      </c>
      <c r="R95" s="21">
        <v>0</v>
      </c>
      <c r="S95" s="21">
        <v>0</v>
      </c>
      <c r="T95" s="21">
        <v>0</v>
      </c>
    </row>
    <row r="96" spans="1:20" x14ac:dyDescent="0.25">
      <c r="A96" s="23">
        <v>47422</v>
      </c>
      <c r="B96" s="31">
        <v>46</v>
      </c>
      <c r="C96" s="4" t="s">
        <v>447</v>
      </c>
      <c r="D96" s="4" t="s">
        <v>448</v>
      </c>
      <c r="E96" s="9">
        <v>0</v>
      </c>
      <c r="F96" s="9">
        <v>11197.471664479752</v>
      </c>
      <c r="G96" s="9">
        <v>931.4729471948676</v>
      </c>
      <c r="H96" s="9">
        <v>0</v>
      </c>
      <c r="I96" s="9">
        <v>0</v>
      </c>
      <c r="J96" s="9">
        <v>0</v>
      </c>
      <c r="K96" s="9">
        <v>0</v>
      </c>
      <c r="L96" s="9">
        <v>0</v>
      </c>
      <c r="M96" s="9">
        <v>0</v>
      </c>
      <c r="N96" s="9">
        <v>0</v>
      </c>
      <c r="O96" s="9">
        <v>0</v>
      </c>
      <c r="P96" s="9">
        <v>11197.471664479752</v>
      </c>
      <c r="Q96" s="9">
        <v>931.4729471948676</v>
      </c>
      <c r="R96" s="9">
        <v>0</v>
      </c>
      <c r="S96" s="9">
        <v>0</v>
      </c>
      <c r="T96" s="9">
        <v>0</v>
      </c>
    </row>
    <row r="97" spans="1:20" x14ac:dyDescent="0.25">
      <c r="A97" s="24">
        <v>47452</v>
      </c>
      <c r="B97" s="30">
        <v>47</v>
      </c>
      <c r="C97" s="26" t="s">
        <v>449</v>
      </c>
      <c r="D97" s="26" t="s">
        <v>450</v>
      </c>
      <c r="E97" s="21">
        <v>0</v>
      </c>
      <c r="F97" s="21">
        <v>0</v>
      </c>
      <c r="G97" s="21">
        <v>0</v>
      </c>
      <c r="H97" s="21">
        <v>0</v>
      </c>
      <c r="I97" s="21">
        <v>0</v>
      </c>
      <c r="J97" s="21">
        <v>13260</v>
      </c>
      <c r="K97" s="21">
        <v>0</v>
      </c>
      <c r="L97" s="21">
        <v>0</v>
      </c>
      <c r="M97" s="21">
        <v>0</v>
      </c>
      <c r="N97" s="21">
        <v>0</v>
      </c>
      <c r="O97" s="21">
        <v>13260</v>
      </c>
      <c r="P97" s="21">
        <v>0</v>
      </c>
      <c r="Q97" s="21">
        <v>0</v>
      </c>
      <c r="R97" s="21">
        <v>0</v>
      </c>
      <c r="S97" s="21">
        <v>0</v>
      </c>
      <c r="T97" s="21">
        <v>0</v>
      </c>
    </row>
    <row r="98" spans="1:20" x14ac:dyDescent="0.25">
      <c r="A98" s="23">
        <v>47452</v>
      </c>
      <c r="B98" s="31">
        <v>47</v>
      </c>
      <c r="C98" s="4" t="s">
        <v>447</v>
      </c>
      <c r="D98" s="4" t="s">
        <v>448</v>
      </c>
      <c r="E98" s="9">
        <v>0</v>
      </c>
      <c r="F98" s="9">
        <v>11197.47166447975</v>
      </c>
      <c r="G98" s="9">
        <v>871.4632183691391</v>
      </c>
      <c r="H98" s="9">
        <v>0</v>
      </c>
      <c r="I98" s="9">
        <v>0</v>
      </c>
      <c r="J98" s="9">
        <v>0</v>
      </c>
      <c r="K98" s="9">
        <v>0</v>
      </c>
      <c r="L98" s="9">
        <v>0</v>
      </c>
      <c r="M98" s="9">
        <v>0</v>
      </c>
      <c r="N98" s="9">
        <v>0</v>
      </c>
      <c r="O98" s="9">
        <v>0</v>
      </c>
      <c r="P98" s="9">
        <v>11197.47166447975</v>
      </c>
      <c r="Q98" s="9">
        <v>871.4632183691391</v>
      </c>
      <c r="R98" s="9">
        <v>0</v>
      </c>
      <c r="S98" s="9">
        <v>0</v>
      </c>
      <c r="T98" s="9">
        <v>0</v>
      </c>
    </row>
    <row r="99" spans="1:20" x14ac:dyDescent="0.25">
      <c r="A99" s="24">
        <v>47483</v>
      </c>
      <c r="B99" s="30">
        <v>48</v>
      </c>
      <c r="C99" s="26" t="s">
        <v>449</v>
      </c>
      <c r="D99" s="26" t="s">
        <v>450</v>
      </c>
      <c r="E99" s="21">
        <v>0</v>
      </c>
      <c r="F99" s="21">
        <v>0</v>
      </c>
      <c r="G99" s="21">
        <v>0</v>
      </c>
      <c r="H99" s="21">
        <v>0</v>
      </c>
      <c r="I99" s="21">
        <v>0</v>
      </c>
      <c r="J99" s="21">
        <v>13260</v>
      </c>
      <c r="K99" s="21">
        <v>0</v>
      </c>
      <c r="L99" s="21">
        <v>0</v>
      </c>
      <c r="M99" s="21">
        <v>0</v>
      </c>
      <c r="N99" s="21">
        <v>0</v>
      </c>
      <c r="O99" s="21">
        <v>13260</v>
      </c>
      <c r="P99" s="21">
        <v>0</v>
      </c>
      <c r="Q99" s="21">
        <v>0</v>
      </c>
      <c r="R99" s="21">
        <v>0</v>
      </c>
      <c r="S99" s="21">
        <v>0</v>
      </c>
      <c r="T99" s="21">
        <v>0</v>
      </c>
    </row>
    <row r="100" spans="1:20" x14ac:dyDescent="0.25">
      <c r="A100" s="23">
        <v>47483</v>
      </c>
      <c r="B100" s="31">
        <v>48</v>
      </c>
      <c r="C100" s="4" t="s">
        <v>447</v>
      </c>
      <c r="D100" s="4" t="s">
        <v>448</v>
      </c>
      <c r="E100" s="9">
        <v>0</v>
      </c>
      <c r="F100" s="9">
        <v>11197.47166447975</v>
      </c>
      <c r="G100" s="9">
        <v>811.1613891539387</v>
      </c>
      <c r="H100" s="9">
        <v>0</v>
      </c>
      <c r="I100" s="9">
        <v>0</v>
      </c>
      <c r="J100" s="9">
        <v>0</v>
      </c>
      <c r="K100" s="9">
        <v>0</v>
      </c>
      <c r="L100" s="9">
        <v>0</v>
      </c>
      <c r="M100" s="9">
        <v>0</v>
      </c>
      <c r="N100" s="9">
        <v>0</v>
      </c>
      <c r="O100" s="9">
        <v>0</v>
      </c>
      <c r="P100" s="9">
        <v>11197.47166447975</v>
      </c>
      <c r="Q100" s="9">
        <v>811.1613891539387</v>
      </c>
      <c r="R100" s="9">
        <v>0</v>
      </c>
      <c r="S100" s="9">
        <v>0</v>
      </c>
      <c r="T100" s="9">
        <v>0</v>
      </c>
    </row>
    <row r="101" spans="1:20" x14ac:dyDescent="0.25">
      <c r="A101" s="24">
        <v>47514</v>
      </c>
      <c r="B101" s="30">
        <v>49</v>
      </c>
      <c r="C101" s="26" t="s">
        <v>449</v>
      </c>
      <c r="D101" s="26" t="s">
        <v>450</v>
      </c>
      <c r="E101" s="21">
        <v>0</v>
      </c>
      <c r="F101" s="21">
        <v>0</v>
      </c>
      <c r="G101" s="21">
        <v>0</v>
      </c>
      <c r="H101" s="21">
        <v>0</v>
      </c>
      <c r="I101" s="21">
        <v>0</v>
      </c>
      <c r="J101" s="21">
        <v>13260</v>
      </c>
      <c r="K101" s="21">
        <v>0</v>
      </c>
      <c r="L101" s="21">
        <v>0</v>
      </c>
      <c r="M101" s="21">
        <v>0</v>
      </c>
      <c r="N101" s="21">
        <v>0</v>
      </c>
      <c r="O101" s="21">
        <v>13260</v>
      </c>
      <c r="P101" s="21">
        <v>0</v>
      </c>
      <c r="Q101" s="21">
        <v>0</v>
      </c>
      <c r="R101" s="21">
        <v>0</v>
      </c>
      <c r="S101" s="21">
        <v>0</v>
      </c>
      <c r="T101" s="21">
        <v>0</v>
      </c>
    </row>
    <row r="102" spans="1:20" x14ac:dyDescent="0.25">
      <c r="A102" s="23">
        <v>47514</v>
      </c>
      <c r="B102" s="31">
        <v>49</v>
      </c>
      <c r="C102" s="4" t="s">
        <v>447</v>
      </c>
      <c r="D102" s="4" t="s">
        <v>448</v>
      </c>
      <c r="E102" s="9">
        <v>0</v>
      </c>
      <c r="F102" s="9">
        <v>11197.471664479748</v>
      </c>
      <c r="G102" s="9">
        <v>750.5660377358505</v>
      </c>
      <c r="H102" s="9">
        <v>0</v>
      </c>
      <c r="I102" s="9">
        <v>0</v>
      </c>
      <c r="J102" s="9">
        <v>0</v>
      </c>
      <c r="K102" s="9">
        <v>0</v>
      </c>
      <c r="L102" s="9">
        <v>0</v>
      </c>
      <c r="M102" s="9">
        <v>0</v>
      </c>
      <c r="N102" s="9">
        <v>0</v>
      </c>
      <c r="O102" s="9">
        <v>0</v>
      </c>
      <c r="P102" s="9">
        <v>11197.471664479748</v>
      </c>
      <c r="Q102" s="9">
        <v>750.5660377358505</v>
      </c>
      <c r="R102" s="9">
        <v>0</v>
      </c>
      <c r="S102" s="9">
        <v>0</v>
      </c>
      <c r="T102" s="9">
        <v>0</v>
      </c>
    </row>
    <row r="103" spans="1:20" x14ac:dyDescent="0.25">
      <c r="A103" s="24">
        <v>47542</v>
      </c>
      <c r="B103" s="30">
        <v>50</v>
      </c>
      <c r="C103" s="26" t="s">
        <v>449</v>
      </c>
      <c r="D103" s="26" t="s">
        <v>450</v>
      </c>
      <c r="E103" s="21">
        <v>0</v>
      </c>
      <c r="F103" s="21">
        <v>0</v>
      </c>
      <c r="G103" s="21">
        <v>0</v>
      </c>
      <c r="H103" s="21">
        <v>0</v>
      </c>
      <c r="I103" s="21">
        <v>0</v>
      </c>
      <c r="J103" s="21">
        <v>13260</v>
      </c>
      <c r="K103" s="21">
        <v>0</v>
      </c>
      <c r="L103" s="21">
        <v>0</v>
      </c>
      <c r="M103" s="21">
        <v>0</v>
      </c>
      <c r="N103" s="21">
        <v>0</v>
      </c>
      <c r="O103" s="21">
        <v>13260</v>
      </c>
      <c r="P103" s="21">
        <v>0</v>
      </c>
      <c r="Q103" s="21">
        <v>0</v>
      </c>
      <c r="R103" s="21">
        <v>0</v>
      </c>
      <c r="S103" s="21">
        <v>0</v>
      </c>
      <c r="T103" s="21">
        <v>0</v>
      </c>
    </row>
    <row r="104" spans="1:20" x14ac:dyDescent="0.25">
      <c r="A104" s="23">
        <v>47542</v>
      </c>
      <c r="B104" s="31">
        <v>50</v>
      </c>
      <c r="C104" s="4" t="s">
        <v>447</v>
      </c>
      <c r="D104" s="4" t="s">
        <v>448</v>
      </c>
      <c r="E104" s="9">
        <v>0</v>
      </c>
      <c r="F104" s="9">
        <v>11197.47166447975</v>
      </c>
      <c r="G104" s="9">
        <v>689.6757353807101</v>
      </c>
      <c r="H104" s="9">
        <v>0</v>
      </c>
      <c r="I104" s="9">
        <v>0</v>
      </c>
      <c r="J104" s="9">
        <v>0</v>
      </c>
      <c r="K104" s="9">
        <v>0</v>
      </c>
      <c r="L104" s="9">
        <v>0</v>
      </c>
      <c r="M104" s="9">
        <v>0</v>
      </c>
      <c r="N104" s="9">
        <v>0</v>
      </c>
      <c r="O104" s="9">
        <v>0</v>
      </c>
      <c r="P104" s="9">
        <v>11197.47166447975</v>
      </c>
      <c r="Q104" s="9">
        <v>689.6757353807101</v>
      </c>
      <c r="R104" s="9">
        <v>0</v>
      </c>
      <c r="S104" s="9">
        <v>0</v>
      </c>
      <c r="T104" s="9">
        <v>0</v>
      </c>
    </row>
    <row r="105" spans="1:20" x14ac:dyDescent="0.25">
      <c r="A105" s="24">
        <v>47573</v>
      </c>
      <c r="B105" s="30">
        <v>51</v>
      </c>
      <c r="C105" s="26" t="s">
        <v>449</v>
      </c>
      <c r="D105" s="26" t="s">
        <v>450</v>
      </c>
      <c r="E105" s="21">
        <v>0</v>
      </c>
      <c r="F105" s="21">
        <v>0</v>
      </c>
      <c r="G105" s="21">
        <v>0</v>
      </c>
      <c r="H105" s="21">
        <v>0</v>
      </c>
      <c r="I105" s="21">
        <v>0</v>
      </c>
      <c r="J105" s="21">
        <v>13260</v>
      </c>
      <c r="K105" s="21">
        <v>0</v>
      </c>
      <c r="L105" s="21">
        <v>0</v>
      </c>
      <c r="M105" s="21">
        <v>0</v>
      </c>
      <c r="N105" s="21">
        <v>0</v>
      </c>
      <c r="O105" s="21">
        <v>13260</v>
      </c>
      <c r="P105" s="21">
        <v>0</v>
      </c>
      <c r="Q105" s="21">
        <v>0</v>
      </c>
      <c r="R105" s="21">
        <v>0</v>
      </c>
      <c r="S105" s="21">
        <v>0</v>
      </c>
      <c r="T105" s="21">
        <v>0</v>
      </c>
    </row>
    <row r="106" spans="1:20" x14ac:dyDescent="0.25">
      <c r="A106" s="23">
        <v>47573</v>
      </c>
      <c r="B106" s="31">
        <v>51</v>
      </c>
      <c r="C106" s="4" t="s">
        <v>447</v>
      </c>
      <c r="D106" s="4" t="s">
        <v>448</v>
      </c>
      <c r="E106" s="9">
        <v>0</v>
      </c>
      <c r="F106" s="9">
        <v>11197.471664479752</v>
      </c>
      <c r="G106" s="9">
        <v>628.489046399917</v>
      </c>
      <c r="H106" s="9">
        <v>0</v>
      </c>
      <c r="I106" s="9">
        <v>0</v>
      </c>
      <c r="J106" s="9">
        <v>0</v>
      </c>
      <c r="K106" s="9">
        <v>0</v>
      </c>
      <c r="L106" s="9">
        <v>0</v>
      </c>
      <c r="M106" s="9">
        <v>0</v>
      </c>
      <c r="N106" s="9">
        <v>0</v>
      </c>
      <c r="O106" s="9">
        <v>0</v>
      </c>
      <c r="P106" s="9">
        <v>11197.471664479752</v>
      </c>
      <c r="Q106" s="9">
        <v>628.489046399917</v>
      </c>
      <c r="R106" s="9">
        <v>0</v>
      </c>
      <c r="S106" s="9">
        <v>0</v>
      </c>
      <c r="T106" s="9">
        <v>0</v>
      </c>
    </row>
    <row r="107" spans="1:20" x14ac:dyDescent="0.25">
      <c r="A107" s="24">
        <v>47603</v>
      </c>
      <c r="B107" s="30">
        <v>52</v>
      </c>
      <c r="C107" s="26" t="s">
        <v>449</v>
      </c>
      <c r="D107" s="26" t="s">
        <v>450</v>
      </c>
      <c r="E107" s="21">
        <v>0</v>
      </c>
      <c r="F107" s="21">
        <v>0</v>
      </c>
      <c r="G107" s="21">
        <v>0</v>
      </c>
      <c r="H107" s="21">
        <v>0</v>
      </c>
      <c r="I107" s="21">
        <v>0</v>
      </c>
      <c r="J107" s="21">
        <v>13260</v>
      </c>
      <c r="K107" s="21">
        <v>0</v>
      </c>
      <c r="L107" s="21">
        <v>0</v>
      </c>
      <c r="M107" s="21">
        <v>0</v>
      </c>
      <c r="N107" s="21">
        <v>0</v>
      </c>
      <c r="O107" s="21">
        <v>13260</v>
      </c>
      <c r="P107" s="21">
        <v>0</v>
      </c>
      <c r="Q107" s="21">
        <v>0</v>
      </c>
      <c r="R107" s="21">
        <v>0</v>
      </c>
      <c r="S107" s="21">
        <v>0</v>
      </c>
      <c r="T107" s="21">
        <v>0</v>
      </c>
    </row>
    <row r="108" spans="1:20" x14ac:dyDescent="0.25">
      <c r="A108" s="23">
        <v>47603</v>
      </c>
      <c r="B108" s="31">
        <v>52</v>
      </c>
      <c r="C108" s="4" t="s">
        <v>447</v>
      </c>
      <c r="D108" s="4" t="s">
        <v>448</v>
      </c>
      <c r="E108" s="9">
        <v>0</v>
      </c>
      <c r="F108" s="9">
        <v>11197.471664479748</v>
      </c>
      <c r="G108" s="9">
        <v>567.0045281165841</v>
      </c>
      <c r="H108" s="9">
        <v>0</v>
      </c>
      <c r="I108" s="9">
        <v>0</v>
      </c>
      <c r="J108" s="9">
        <v>0</v>
      </c>
      <c r="K108" s="9">
        <v>0</v>
      </c>
      <c r="L108" s="9">
        <v>0</v>
      </c>
      <c r="M108" s="9">
        <v>0</v>
      </c>
      <c r="N108" s="9">
        <v>0</v>
      </c>
      <c r="O108" s="9">
        <v>0</v>
      </c>
      <c r="P108" s="9">
        <v>11197.471664479748</v>
      </c>
      <c r="Q108" s="9">
        <v>567.0045281165841</v>
      </c>
      <c r="R108" s="9">
        <v>0</v>
      </c>
      <c r="S108" s="9">
        <v>0</v>
      </c>
      <c r="T108" s="9">
        <v>0</v>
      </c>
    </row>
    <row r="109" spans="1:20" x14ac:dyDescent="0.25">
      <c r="A109" s="24">
        <v>47634</v>
      </c>
      <c r="B109" s="30">
        <v>53</v>
      </c>
      <c r="C109" s="26" t="s">
        <v>449</v>
      </c>
      <c r="D109" s="26" t="s">
        <v>450</v>
      </c>
      <c r="E109" s="21">
        <v>0</v>
      </c>
      <c r="F109" s="21">
        <v>0</v>
      </c>
      <c r="G109" s="21">
        <v>0</v>
      </c>
      <c r="H109" s="21">
        <v>0</v>
      </c>
      <c r="I109" s="21">
        <v>0</v>
      </c>
      <c r="J109" s="21">
        <v>13260</v>
      </c>
      <c r="K109" s="21">
        <v>0</v>
      </c>
      <c r="L109" s="21">
        <v>0</v>
      </c>
      <c r="M109" s="21">
        <v>0</v>
      </c>
      <c r="N109" s="21">
        <v>0</v>
      </c>
      <c r="O109" s="21">
        <v>13260</v>
      </c>
      <c r="P109" s="21">
        <v>0</v>
      </c>
      <c r="Q109" s="21">
        <v>0</v>
      </c>
      <c r="R109" s="21">
        <v>0</v>
      </c>
      <c r="S109" s="21">
        <v>0</v>
      </c>
      <c r="T109" s="21">
        <v>0</v>
      </c>
    </row>
    <row r="110" spans="1:20" x14ac:dyDescent="0.25">
      <c r="A110" s="23">
        <v>47634</v>
      </c>
      <c r="B110" s="31">
        <v>53</v>
      </c>
      <c r="C110" s="4" t="s">
        <v>447</v>
      </c>
      <c r="D110" s="4" t="s">
        <v>448</v>
      </c>
      <c r="E110" s="9">
        <v>0</v>
      </c>
      <c r="F110" s="9">
        <v>11197.47166447975</v>
      </c>
      <c r="G110" s="9">
        <v>505.22073083152117</v>
      </c>
      <c r="H110" s="9">
        <v>0</v>
      </c>
      <c r="I110" s="9">
        <v>0</v>
      </c>
      <c r="J110" s="9">
        <v>0</v>
      </c>
      <c r="K110" s="9">
        <v>0</v>
      </c>
      <c r="L110" s="9">
        <v>0</v>
      </c>
      <c r="M110" s="9">
        <v>0</v>
      </c>
      <c r="N110" s="9">
        <v>0</v>
      </c>
      <c r="O110" s="9">
        <v>0</v>
      </c>
      <c r="P110" s="9">
        <v>11197.47166447975</v>
      </c>
      <c r="Q110" s="9">
        <v>505.22073083152117</v>
      </c>
      <c r="R110" s="9">
        <v>0</v>
      </c>
      <c r="S110" s="9">
        <v>0</v>
      </c>
      <c r="T110" s="9">
        <v>0</v>
      </c>
    </row>
    <row r="111" spans="1:20" x14ac:dyDescent="0.25">
      <c r="A111" s="24">
        <v>47664</v>
      </c>
      <c r="B111" s="30">
        <v>54</v>
      </c>
      <c r="C111" s="26" t="s">
        <v>449</v>
      </c>
      <c r="D111" s="26" t="s">
        <v>450</v>
      </c>
      <c r="E111" s="21">
        <v>0</v>
      </c>
      <c r="F111" s="21">
        <v>0</v>
      </c>
      <c r="G111" s="21">
        <v>0</v>
      </c>
      <c r="H111" s="21">
        <v>0</v>
      </c>
      <c r="I111" s="21">
        <v>0</v>
      </c>
      <c r="J111" s="21">
        <v>13260</v>
      </c>
      <c r="K111" s="21">
        <v>0</v>
      </c>
      <c r="L111" s="21">
        <v>0</v>
      </c>
      <c r="M111" s="21">
        <v>0</v>
      </c>
      <c r="N111" s="21">
        <v>0</v>
      </c>
      <c r="O111" s="21">
        <v>13260</v>
      </c>
      <c r="P111" s="21">
        <v>0</v>
      </c>
      <c r="Q111" s="21">
        <v>0</v>
      </c>
      <c r="R111" s="21">
        <v>0</v>
      </c>
      <c r="S111" s="21">
        <v>0</v>
      </c>
      <c r="T111" s="21">
        <v>0</v>
      </c>
    </row>
    <row r="112" spans="1:20" x14ac:dyDescent="0.25">
      <c r="A112" s="23">
        <v>47664</v>
      </c>
      <c r="B112" s="31">
        <v>54</v>
      </c>
      <c r="C112" s="4" t="s">
        <v>447</v>
      </c>
      <c r="D112" s="4" t="s">
        <v>448</v>
      </c>
      <c r="E112" s="9">
        <v>0</v>
      </c>
      <c r="F112" s="9">
        <v>11197.47166447975</v>
      </c>
      <c r="G112" s="9">
        <v>443.13619778905434</v>
      </c>
      <c r="H112" s="9">
        <v>0</v>
      </c>
      <c r="I112" s="9">
        <v>0</v>
      </c>
      <c r="J112" s="9">
        <v>0</v>
      </c>
      <c r="K112" s="9">
        <v>0</v>
      </c>
      <c r="L112" s="9">
        <v>0</v>
      </c>
      <c r="M112" s="9">
        <v>0</v>
      </c>
      <c r="N112" s="9">
        <v>0</v>
      </c>
      <c r="O112" s="9">
        <v>0</v>
      </c>
      <c r="P112" s="9">
        <v>11197.47166447975</v>
      </c>
      <c r="Q112" s="9">
        <v>443.13619778905434</v>
      </c>
      <c r="R112" s="9">
        <v>0</v>
      </c>
      <c r="S112" s="9">
        <v>0</v>
      </c>
      <c r="T112" s="9">
        <v>0</v>
      </c>
    </row>
    <row r="113" spans="1:20" x14ac:dyDescent="0.25">
      <c r="A113" s="24">
        <v>47695</v>
      </c>
      <c r="B113" s="30">
        <v>55</v>
      </c>
      <c r="C113" s="26" t="s">
        <v>449</v>
      </c>
      <c r="D113" s="26" t="s">
        <v>450</v>
      </c>
      <c r="E113" s="21">
        <v>0</v>
      </c>
      <c r="F113" s="21">
        <v>0</v>
      </c>
      <c r="G113" s="21">
        <v>0</v>
      </c>
      <c r="H113" s="21">
        <v>0</v>
      </c>
      <c r="I113" s="21">
        <v>0</v>
      </c>
      <c r="J113" s="21">
        <v>13260</v>
      </c>
      <c r="K113" s="21">
        <v>0</v>
      </c>
      <c r="L113" s="21">
        <v>0</v>
      </c>
      <c r="M113" s="21">
        <v>0</v>
      </c>
      <c r="N113" s="21">
        <v>0</v>
      </c>
      <c r="O113" s="21">
        <v>13260</v>
      </c>
      <c r="P113" s="21">
        <v>0</v>
      </c>
      <c r="Q113" s="21">
        <v>0</v>
      </c>
      <c r="R113" s="21">
        <v>0</v>
      </c>
      <c r="S113" s="21">
        <v>0</v>
      </c>
      <c r="T113" s="21">
        <v>0</v>
      </c>
    </row>
    <row r="114" spans="1:20" x14ac:dyDescent="0.25">
      <c r="A114" s="23">
        <v>47695</v>
      </c>
      <c r="B114" s="31">
        <v>55</v>
      </c>
      <c r="C114" s="4" t="s">
        <v>447</v>
      </c>
      <c r="D114" s="4" t="s">
        <v>448</v>
      </c>
      <c r="E114" s="9">
        <v>0</v>
      </c>
      <c r="F114" s="9">
        <v>11197.471664479752</v>
      </c>
      <c r="G114" s="9">
        <v>380.7494651426776</v>
      </c>
      <c r="H114" s="9">
        <v>0</v>
      </c>
      <c r="I114" s="9">
        <v>0</v>
      </c>
      <c r="J114" s="9">
        <v>0</v>
      </c>
      <c r="K114" s="9">
        <v>0</v>
      </c>
      <c r="L114" s="9">
        <v>0</v>
      </c>
      <c r="M114" s="9">
        <v>0</v>
      </c>
      <c r="N114" s="9">
        <v>0</v>
      </c>
      <c r="O114" s="9">
        <v>0</v>
      </c>
      <c r="P114" s="9">
        <v>11197.471664479752</v>
      </c>
      <c r="Q114" s="9">
        <v>380.7494651426776</v>
      </c>
      <c r="R114" s="9">
        <v>0</v>
      </c>
      <c r="S114" s="9">
        <v>0</v>
      </c>
      <c r="T114" s="9">
        <v>0</v>
      </c>
    </row>
    <row r="115" spans="1:20" x14ac:dyDescent="0.25">
      <c r="A115" s="24">
        <v>47726</v>
      </c>
      <c r="B115" s="30">
        <v>56</v>
      </c>
      <c r="C115" s="26" t="s">
        <v>449</v>
      </c>
      <c r="D115" s="26" t="s">
        <v>450</v>
      </c>
      <c r="E115" s="21">
        <v>0</v>
      </c>
      <c r="F115" s="21">
        <v>0</v>
      </c>
      <c r="G115" s="21">
        <v>0</v>
      </c>
      <c r="H115" s="21">
        <v>0</v>
      </c>
      <c r="I115" s="21">
        <v>0</v>
      </c>
      <c r="J115" s="21">
        <v>13260</v>
      </c>
      <c r="K115" s="21">
        <v>0</v>
      </c>
      <c r="L115" s="21">
        <v>0</v>
      </c>
      <c r="M115" s="21">
        <v>0</v>
      </c>
      <c r="N115" s="21">
        <v>0</v>
      </c>
      <c r="O115" s="21">
        <v>13260</v>
      </c>
      <c r="P115" s="21">
        <v>0</v>
      </c>
      <c r="Q115" s="21">
        <v>0</v>
      </c>
      <c r="R115" s="21">
        <v>0</v>
      </c>
      <c r="S115" s="21">
        <v>0</v>
      </c>
      <c r="T115" s="21">
        <v>0</v>
      </c>
    </row>
    <row r="116" spans="1:20" x14ac:dyDescent="0.25">
      <c r="A116" s="23">
        <v>47726</v>
      </c>
      <c r="B116" s="31">
        <v>56</v>
      </c>
      <c r="C116" s="4" t="s">
        <v>447</v>
      </c>
      <c r="D116" s="4" t="s">
        <v>448</v>
      </c>
      <c r="E116" s="9">
        <v>0</v>
      </c>
      <c r="F116" s="9">
        <v>11197.471664479752</v>
      </c>
      <c r="G116" s="9">
        <v>318.05906192053806</v>
      </c>
      <c r="H116" s="9">
        <v>0</v>
      </c>
      <c r="I116" s="9">
        <v>0</v>
      </c>
      <c r="J116" s="9">
        <v>0</v>
      </c>
      <c r="K116" s="9">
        <v>0</v>
      </c>
      <c r="L116" s="9">
        <v>0</v>
      </c>
      <c r="M116" s="9">
        <v>0</v>
      </c>
      <c r="N116" s="9">
        <v>0</v>
      </c>
      <c r="O116" s="9">
        <v>0</v>
      </c>
      <c r="P116" s="9">
        <v>11197.471664479752</v>
      </c>
      <c r="Q116" s="9">
        <v>318.05906192053806</v>
      </c>
      <c r="R116" s="9">
        <v>0</v>
      </c>
      <c r="S116" s="9">
        <v>0</v>
      </c>
      <c r="T116" s="9">
        <v>0</v>
      </c>
    </row>
    <row r="117" spans="1:20" x14ac:dyDescent="0.25">
      <c r="A117" s="24">
        <v>47756</v>
      </c>
      <c r="B117" s="30">
        <v>57</v>
      </c>
      <c r="C117" s="26" t="s">
        <v>449</v>
      </c>
      <c r="D117" s="26" t="s">
        <v>450</v>
      </c>
      <c r="E117" s="21">
        <v>0</v>
      </c>
      <c r="F117" s="21">
        <v>0</v>
      </c>
      <c r="G117" s="21">
        <v>0</v>
      </c>
      <c r="H117" s="21">
        <v>0</v>
      </c>
      <c r="I117" s="21">
        <v>0</v>
      </c>
      <c r="J117" s="21">
        <v>13260</v>
      </c>
      <c r="K117" s="21">
        <v>0</v>
      </c>
      <c r="L117" s="21">
        <v>0</v>
      </c>
      <c r="M117" s="21">
        <v>0</v>
      </c>
      <c r="N117" s="21">
        <v>0</v>
      </c>
      <c r="O117" s="21">
        <v>13260</v>
      </c>
      <c r="P117" s="21">
        <v>0</v>
      </c>
      <c r="Q117" s="21">
        <v>0</v>
      </c>
      <c r="R117" s="21">
        <v>0</v>
      </c>
      <c r="S117" s="21">
        <v>0</v>
      </c>
      <c r="T117" s="21">
        <v>0</v>
      </c>
    </row>
    <row r="118" spans="1:20" x14ac:dyDescent="0.25">
      <c r="A118" s="23">
        <v>47756</v>
      </c>
      <c r="B118" s="31">
        <v>57</v>
      </c>
      <c r="C118" s="4" t="s">
        <v>447</v>
      </c>
      <c r="D118" s="4" t="s">
        <v>448</v>
      </c>
      <c r="E118" s="9">
        <v>0</v>
      </c>
      <c r="F118" s="9">
        <v>11197.471664479752</v>
      </c>
      <c r="G118" s="9">
        <v>255.06350999075303</v>
      </c>
      <c r="H118" s="9">
        <v>0</v>
      </c>
      <c r="I118" s="9">
        <v>0</v>
      </c>
      <c r="J118" s="9">
        <v>0</v>
      </c>
      <c r="K118" s="9">
        <v>0</v>
      </c>
      <c r="L118" s="9">
        <v>0</v>
      </c>
      <c r="M118" s="9">
        <v>0</v>
      </c>
      <c r="N118" s="9">
        <v>0</v>
      </c>
      <c r="O118" s="9">
        <v>0</v>
      </c>
      <c r="P118" s="9">
        <v>11197.471664479752</v>
      </c>
      <c r="Q118" s="9">
        <v>255.06350999075303</v>
      </c>
      <c r="R118" s="9">
        <v>0</v>
      </c>
      <c r="S118" s="9">
        <v>0</v>
      </c>
      <c r="T118" s="9">
        <v>0</v>
      </c>
    </row>
    <row r="119" spans="1:20" x14ac:dyDescent="0.25">
      <c r="A119" s="24">
        <v>47787</v>
      </c>
      <c r="B119" s="30">
        <v>58</v>
      </c>
      <c r="C119" s="26" t="s">
        <v>449</v>
      </c>
      <c r="D119" s="26" t="s">
        <v>450</v>
      </c>
      <c r="E119" s="21">
        <v>0</v>
      </c>
      <c r="F119" s="21">
        <v>0</v>
      </c>
      <c r="G119" s="21">
        <v>0</v>
      </c>
      <c r="H119" s="21">
        <v>0</v>
      </c>
      <c r="I119" s="21">
        <v>0</v>
      </c>
      <c r="J119" s="21">
        <v>13260</v>
      </c>
      <c r="K119" s="21">
        <v>0</v>
      </c>
      <c r="L119" s="21">
        <v>0</v>
      </c>
      <c r="M119" s="21">
        <v>0</v>
      </c>
      <c r="N119" s="21">
        <v>0</v>
      </c>
      <c r="O119" s="21">
        <v>13260</v>
      </c>
      <c r="P119" s="21">
        <v>0</v>
      </c>
      <c r="Q119" s="21">
        <v>0</v>
      </c>
      <c r="R119" s="21">
        <v>0</v>
      </c>
      <c r="S119" s="21">
        <v>0</v>
      </c>
      <c r="T119" s="21">
        <v>0</v>
      </c>
    </row>
    <row r="120" spans="1:20" x14ac:dyDescent="0.25">
      <c r="A120" s="23">
        <v>47787</v>
      </c>
      <c r="B120" s="31">
        <v>58</v>
      </c>
      <c r="C120" s="4" t="s">
        <v>447</v>
      </c>
      <c r="D120" s="4" t="s">
        <v>448</v>
      </c>
      <c r="E120" s="9">
        <v>0</v>
      </c>
      <c r="F120" s="9">
        <v>11197.471664479752</v>
      </c>
      <c r="G120" s="9">
        <v>191.76132402655807</v>
      </c>
      <c r="H120" s="9">
        <v>0</v>
      </c>
      <c r="I120" s="9">
        <v>0</v>
      </c>
      <c r="J120" s="9">
        <v>0</v>
      </c>
      <c r="K120" s="9">
        <v>0</v>
      </c>
      <c r="L120" s="9">
        <v>0</v>
      </c>
      <c r="M120" s="9">
        <v>0</v>
      </c>
      <c r="N120" s="9">
        <v>0</v>
      </c>
      <c r="O120" s="9">
        <v>0</v>
      </c>
      <c r="P120" s="9">
        <v>11197.471664479752</v>
      </c>
      <c r="Q120" s="9">
        <v>191.76132402655807</v>
      </c>
      <c r="R120" s="9">
        <v>0</v>
      </c>
      <c r="S120" s="9">
        <v>0</v>
      </c>
      <c r="T120" s="9">
        <v>0</v>
      </c>
    </row>
    <row r="121" spans="1:20" x14ac:dyDescent="0.25">
      <c r="A121" s="24">
        <v>47817</v>
      </c>
      <c r="B121" s="30">
        <v>59</v>
      </c>
      <c r="C121" s="26" t="s">
        <v>449</v>
      </c>
      <c r="D121" s="26" t="s">
        <v>450</v>
      </c>
      <c r="E121" s="21">
        <v>0</v>
      </c>
      <c r="F121" s="21">
        <v>0</v>
      </c>
      <c r="G121" s="21">
        <v>0</v>
      </c>
      <c r="H121" s="21">
        <v>0</v>
      </c>
      <c r="I121" s="21">
        <v>0</v>
      </c>
      <c r="J121" s="21">
        <v>13260</v>
      </c>
      <c r="K121" s="21">
        <v>0</v>
      </c>
      <c r="L121" s="21">
        <v>0</v>
      </c>
      <c r="M121" s="21">
        <v>0</v>
      </c>
      <c r="N121" s="21">
        <v>0</v>
      </c>
      <c r="O121" s="21">
        <v>13260</v>
      </c>
      <c r="P121" s="21">
        <v>0</v>
      </c>
      <c r="Q121" s="21">
        <v>0</v>
      </c>
      <c r="R121" s="21">
        <v>0</v>
      </c>
      <c r="S121" s="21">
        <v>0</v>
      </c>
      <c r="T121" s="21">
        <v>0</v>
      </c>
    </row>
    <row r="122" spans="1:20" x14ac:dyDescent="0.25">
      <c r="A122" s="23">
        <v>47817</v>
      </c>
      <c r="B122" s="31">
        <v>59</v>
      </c>
      <c r="C122" s="4" t="s">
        <v>447</v>
      </c>
      <c r="D122" s="4" t="s">
        <v>448</v>
      </c>
      <c r="E122" s="9">
        <v>0</v>
      </c>
      <c r="F122" s="9">
        <v>11197.471664479752</v>
      </c>
      <c r="G122" s="9">
        <v>128.15101147128564</v>
      </c>
      <c r="H122" s="9">
        <v>0</v>
      </c>
      <c r="I122" s="9">
        <v>0</v>
      </c>
      <c r="J122" s="9">
        <v>0</v>
      </c>
      <c r="K122" s="9">
        <v>0</v>
      </c>
      <c r="L122" s="9">
        <v>0</v>
      </c>
      <c r="M122" s="9">
        <v>0</v>
      </c>
      <c r="N122" s="9">
        <v>0</v>
      </c>
      <c r="O122" s="9">
        <v>0</v>
      </c>
      <c r="P122" s="9">
        <v>11197.471664479752</v>
      </c>
      <c r="Q122" s="9">
        <v>128.15101147128564</v>
      </c>
      <c r="R122" s="9">
        <v>0</v>
      </c>
      <c r="S122" s="9">
        <v>0</v>
      </c>
      <c r="T122" s="9">
        <v>0</v>
      </c>
    </row>
    <row r="123" spans="1:20" x14ac:dyDescent="0.25">
      <c r="A123" s="24">
        <v>47848</v>
      </c>
      <c r="B123" s="30">
        <v>60</v>
      </c>
      <c r="C123" s="26" t="s">
        <v>449</v>
      </c>
      <c r="D123" s="26" t="s">
        <v>450</v>
      </c>
      <c r="E123" s="21">
        <v>0</v>
      </c>
      <c r="F123" s="21">
        <v>0</v>
      </c>
      <c r="G123" s="21">
        <v>0</v>
      </c>
      <c r="H123" s="21">
        <v>0</v>
      </c>
      <c r="I123" s="21">
        <v>0</v>
      </c>
      <c r="J123" s="21">
        <v>13260</v>
      </c>
      <c r="K123" s="21">
        <v>0</v>
      </c>
      <c r="L123" s="21">
        <v>0</v>
      </c>
      <c r="M123" s="21">
        <v>0</v>
      </c>
      <c r="N123" s="21">
        <v>0</v>
      </c>
      <c r="O123" s="21">
        <v>13260</v>
      </c>
      <c r="P123" s="21">
        <v>0</v>
      </c>
      <c r="Q123" s="21">
        <v>0</v>
      </c>
      <c r="R123" s="21">
        <v>0</v>
      </c>
      <c r="S123" s="21">
        <v>0</v>
      </c>
      <c r="T123" s="21">
        <v>0</v>
      </c>
    </row>
    <row r="124" spans="1:20" x14ac:dyDescent="0.25">
      <c r="A124" s="23">
        <v>47848</v>
      </c>
      <c r="B124" s="31">
        <v>60</v>
      </c>
      <c r="C124" s="4" t="s">
        <v>447</v>
      </c>
      <c r="D124" s="4" t="s">
        <v>448</v>
      </c>
      <c r="E124" s="9">
        <v>0</v>
      </c>
      <c r="F124" s="9">
        <v>11197.471664479752</v>
      </c>
      <c r="G124" s="9">
        <v>64.23107250317317</v>
      </c>
      <c r="H124" s="9">
        <v>0</v>
      </c>
      <c r="I124" s="9">
        <v>0</v>
      </c>
      <c r="J124" s="9">
        <v>0</v>
      </c>
      <c r="K124" s="9">
        <v>0</v>
      </c>
      <c r="L124" s="9">
        <v>0</v>
      </c>
      <c r="M124" s="9">
        <v>0</v>
      </c>
      <c r="N124" s="9">
        <v>0</v>
      </c>
      <c r="O124" s="9">
        <v>0</v>
      </c>
      <c r="P124" s="9">
        <v>11197.471664479752</v>
      </c>
      <c r="Q124" s="9">
        <v>64.23107250317317</v>
      </c>
      <c r="R124" s="9">
        <v>0</v>
      </c>
      <c r="S124" s="9">
        <v>0</v>
      </c>
      <c r="T124" s="9">
        <v>0</v>
      </c>
    </row>
  </sheetData>
  <autoFilter ref="A2:T124"/>
  <pageMargins left="0.35" right="0.35" top="0.55" bottom="0.55" header="0.2" footer="0.2"/>
  <pageSetup orientation="landscape" horizontalDpi="4294967295" verticalDpi="4294967295" scale="100"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O19"/>
  <sheetViews>
    <sheetView workbookViewId="0" showGridLines="0"/>
  </sheetViews>
  <sheetFormatPr defaultRowHeight="20" outlineLevelRow="0" outlineLevelCol="0" x14ac:dyDescent="55" customHeight="1"/>
  <cols>
    <col min="1" max="1" width="34" customWidth="1"/>
    <col min="2" max="2" width="18" customWidth="1"/>
    <col min="3" max="3" width="56" customWidth="1"/>
    <col min="4" max="4" width="15" customWidth="1"/>
    <col min="5" max="5" width="20" customWidth="1"/>
    <col min="6" max="6" width="56" customWidth="1"/>
    <col min="7" max="7" width="10" customWidth="1"/>
    <col min="8" max="8" width="96" customWidth="1"/>
    <col min="9" max="9" width="17" customWidth="1"/>
    <col min="10" max="10" width="20" customWidth="1"/>
    <col min="11" max="11" width="14" customWidth="1"/>
    <col min="12" max="12" width="21" customWidth="1"/>
    <col min="13" max="13" width="12" customWidth="1"/>
    <col min="14" max="14" width="13" customWidth="1"/>
    <col min="15" max="15" width="24" customWidth="1"/>
  </cols>
  <sheetData>
    <row r="1" ht="30" customHeight="1" spans="1:15" x14ac:dyDescent="0.25">
      <c r="A1" s="1" t="s">
        <v>453</v>
      </c>
      <c r="B1" s="2"/>
      <c r="C1" s="2"/>
      <c r="D1" s="2"/>
      <c r="E1" s="2"/>
      <c r="F1" s="2"/>
      <c r="G1" s="2"/>
      <c r="H1" s="2"/>
      <c r="I1" s="2"/>
      <c r="J1" s="2"/>
      <c r="K1" s="2"/>
      <c r="L1" s="2"/>
      <c r="M1" s="2"/>
      <c r="N1" s="2"/>
      <c r="O1" s="2"/>
    </row>
    <row r="2" ht="7" customHeight="1" spans="1:15" x14ac:dyDescent="0.25">
      <c r="A2" t="s">
        <v>1</v>
      </c>
      <c r="B2" t="s">
        <v>1</v>
      </c>
      <c r="C2" t="s">
        <v>1</v>
      </c>
      <c r="D2" t="s">
        <v>1</v>
      </c>
      <c r="E2" t="s">
        <v>1</v>
      </c>
      <c r="F2" t="s">
        <v>1</v>
      </c>
      <c r="G2" t="s">
        <v>1</v>
      </c>
      <c r="H2" t="s">
        <v>1</v>
      </c>
      <c r="I2" t="s">
        <v>1</v>
      </c>
      <c r="J2" t="s">
        <v>1</v>
      </c>
      <c r="K2" t="s">
        <v>1</v>
      </c>
      <c r="L2" t="s">
        <v>1</v>
      </c>
      <c r="M2" t="s">
        <v>1</v>
      </c>
      <c r="N2" t="s">
        <v>1</v>
      </c>
      <c r="O2" t="s">
        <v>1</v>
      </c>
    </row>
    <row r="3" ht="20" customHeight="1" spans="1:15" x14ac:dyDescent="0.25">
      <c r="A3" s="3" t="s">
        <v>454</v>
      </c>
      <c r="B3" s="4" t="s">
        <v>455</v>
      </c>
      <c r="C3" s="5" t="s">
        <v>1</v>
      </c>
      <c r="D3" s="5" t="s">
        <v>1</v>
      </c>
      <c r="E3" s="5" t="s">
        <v>1</v>
      </c>
      <c r="F3" s="5" t="s">
        <v>1</v>
      </c>
      <c r="G3" s="5" t="s">
        <v>1</v>
      </c>
      <c r="H3" s="5" t="s">
        <v>1</v>
      </c>
      <c r="I3" s="5" t="s">
        <v>1</v>
      </c>
      <c r="J3" s="5" t="s">
        <v>1</v>
      </c>
      <c r="K3" s="5" t="s">
        <v>1</v>
      </c>
      <c r="L3" s="5" t="s">
        <v>1</v>
      </c>
      <c r="M3" s="5" t="s">
        <v>1</v>
      </c>
      <c r="N3" s="5" t="s">
        <v>1</v>
      </c>
      <c r="O3" s="5" t="s">
        <v>1</v>
      </c>
    </row>
    <row r="4" ht="20" customHeight="1" spans="1:15" x14ac:dyDescent="0.25">
      <c r="A4" s="3" t="s">
        <v>456</v>
      </c>
      <c r="B4" s="15">
        <v>0</v>
      </c>
      <c r="C4" s="5" t="s">
        <v>1</v>
      </c>
      <c r="D4" s="5" t="s">
        <v>1</v>
      </c>
      <c r="E4" s="5" t="s">
        <v>1</v>
      </c>
      <c r="F4" s="5" t="s">
        <v>1</v>
      </c>
      <c r="G4" s="5" t="s">
        <v>1</v>
      </c>
      <c r="H4" s="5" t="s">
        <v>1</v>
      </c>
      <c r="I4" s="5" t="s">
        <v>1</v>
      </c>
      <c r="J4" s="5" t="s">
        <v>1</v>
      </c>
      <c r="K4" s="5" t="s">
        <v>1</v>
      </c>
      <c r="L4" s="5" t="s">
        <v>1</v>
      </c>
      <c r="M4" s="5" t="s">
        <v>1</v>
      </c>
      <c r="N4" s="5" t="s">
        <v>1</v>
      </c>
      <c r="O4" s="5" t="s">
        <v>1</v>
      </c>
    </row>
    <row r="5" ht="20" customHeight="1" spans="1:15" x14ac:dyDescent="0.25">
      <c r="A5" s="3" t="s">
        <v>457</v>
      </c>
      <c r="B5" s="15">
        <v>0</v>
      </c>
      <c r="C5" s="5" t="s">
        <v>1</v>
      </c>
      <c r="D5" s="5" t="s">
        <v>1</v>
      </c>
      <c r="E5" s="5" t="s">
        <v>1</v>
      </c>
      <c r="F5" s="5" t="s">
        <v>1</v>
      </c>
      <c r="G5" s="5" t="s">
        <v>1</v>
      </c>
      <c r="H5" s="5" t="s">
        <v>1</v>
      </c>
      <c r="I5" s="5" t="s">
        <v>1</v>
      </c>
      <c r="J5" s="5" t="s">
        <v>1</v>
      </c>
      <c r="K5" s="5" t="s">
        <v>1</v>
      </c>
      <c r="L5" s="5" t="s">
        <v>1</v>
      </c>
      <c r="M5" s="5" t="s">
        <v>1</v>
      </c>
      <c r="N5" s="5" t="s">
        <v>1</v>
      </c>
      <c r="O5" s="5" t="s">
        <v>1</v>
      </c>
    </row>
    <row r="6" ht="20" customHeight="1" spans="1:15" x14ac:dyDescent="0.25">
      <c r="A6" s="3" t="s">
        <v>458</v>
      </c>
      <c r="B6" s="15">
        <v>0</v>
      </c>
      <c r="C6" s="5" t="s">
        <v>1</v>
      </c>
      <c r="D6" s="5" t="s">
        <v>1</v>
      </c>
      <c r="E6" s="5" t="s">
        <v>1</v>
      </c>
      <c r="F6" s="5" t="s">
        <v>1</v>
      </c>
      <c r="G6" s="5" t="s">
        <v>1</v>
      </c>
      <c r="H6" s="5" t="s">
        <v>1</v>
      </c>
      <c r="I6" s="5" t="s">
        <v>1</v>
      </c>
      <c r="J6" s="5" t="s">
        <v>1</v>
      </c>
      <c r="K6" s="5" t="s">
        <v>1</v>
      </c>
      <c r="L6" s="5" t="s">
        <v>1</v>
      </c>
      <c r="M6" s="5" t="s">
        <v>1</v>
      </c>
      <c r="N6" s="5" t="s">
        <v>1</v>
      </c>
      <c r="O6" s="5" t="s">
        <v>1</v>
      </c>
    </row>
    <row r="7" ht="20" customHeight="1" spans="1:15" x14ac:dyDescent="0.25">
      <c r="A7" s="3" t="s">
        <v>459</v>
      </c>
      <c r="B7" s="15">
        <v>0</v>
      </c>
      <c r="C7" s="5" t="s">
        <v>1</v>
      </c>
      <c r="D7" s="5" t="s">
        <v>1</v>
      </c>
      <c r="E7" s="5" t="s">
        <v>1</v>
      </c>
      <c r="F7" s="5" t="s">
        <v>1</v>
      </c>
      <c r="G7" s="5" t="s">
        <v>1</v>
      </c>
      <c r="H7" s="5" t="s">
        <v>1</v>
      </c>
      <c r="I7" s="5" t="s">
        <v>1</v>
      </c>
      <c r="J7" s="5" t="s">
        <v>1</v>
      </c>
      <c r="K7" s="5" t="s">
        <v>1</v>
      </c>
      <c r="L7" s="5" t="s">
        <v>1</v>
      </c>
      <c r="M7" s="5" t="s">
        <v>1</v>
      </c>
      <c r="N7" s="5" t="s">
        <v>1</v>
      </c>
      <c r="O7" s="5" t="s">
        <v>1</v>
      </c>
    </row>
    <row r="8" ht="20" customHeight="1" spans="1:15" x14ac:dyDescent="0.25">
      <c r="A8" s="3" t="s">
        <v>460</v>
      </c>
      <c r="B8" s="15">
        <v>0</v>
      </c>
      <c r="C8" s="5" t="s">
        <v>1</v>
      </c>
      <c r="D8" s="5" t="s">
        <v>1</v>
      </c>
      <c r="E8" s="5" t="s">
        <v>1</v>
      </c>
      <c r="F8" s="5" t="s">
        <v>1</v>
      </c>
      <c r="G8" s="5" t="s">
        <v>1</v>
      </c>
      <c r="H8" s="5" t="s">
        <v>1</v>
      </c>
      <c r="I8" s="5" t="s">
        <v>1</v>
      </c>
      <c r="J8" s="5" t="s">
        <v>1</v>
      </c>
      <c r="K8" s="5" t="s">
        <v>1</v>
      </c>
      <c r="L8" s="5" t="s">
        <v>1</v>
      </c>
      <c r="M8" s="5" t="s">
        <v>1</v>
      </c>
      <c r="N8" s="5" t="s">
        <v>1</v>
      </c>
      <c r="O8" s="5" t="s">
        <v>1</v>
      </c>
    </row>
    <row r="9" ht="7" customHeight="1" spans="1:15" x14ac:dyDescent="0.25">
      <c r="A9" t="s">
        <v>1</v>
      </c>
      <c r="B9" t="s">
        <v>1</v>
      </c>
      <c r="C9" t="s">
        <v>1</v>
      </c>
      <c r="D9" t="s">
        <v>1</v>
      </c>
      <c r="E9" t="s">
        <v>1</v>
      </c>
      <c r="F9" t="s">
        <v>1</v>
      </c>
      <c r="G9" t="s">
        <v>1</v>
      </c>
      <c r="H9" t="s">
        <v>1</v>
      </c>
      <c r="I9" t="s">
        <v>1</v>
      </c>
      <c r="J9" t="s">
        <v>1</v>
      </c>
      <c r="K9" t="s">
        <v>1</v>
      </c>
      <c r="L9" t="s">
        <v>1</v>
      </c>
      <c r="M9" t="s">
        <v>1</v>
      </c>
      <c r="N9" t="s">
        <v>1</v>
      </c>
      <c r="O9" t="s">
        <v>1</v>
      </c>
    </row>
    <row r="10" ht="20" customHeight="1" spans="1:15" x14ac:dyDescent="0.25">
      <c r="A10" s="6" t="s">
        <v>461</v>
      </c>
      <c r="B10" s="6" t="s">
        <v>1</v>
      </c>
      <c r="C10" s="6" t="s">
        <v>1</v>
      </c>
      <c r="D10" s="6" t="s">
        <v>1</v>
      </c>
      <c r="E10" s="6" t="s">
        <v>1</v>
      </c>
      <c r="F10" s="6" t="s">
        <v>1</v>
      </c>
      <c r="G10" s="6" t="s">
        <v>1</v>
      </c>
      <c r="H10" s="6" t="s">
        <v>1</v>
      </c>
      <c r="I10" s="6" t="s">
        <v>1</v>
      </c>
      <c r="J10" s="6" t="s">
        <v>1</v>
      </c>
      <c r="K10" s="6" t="s">
        <v>1</v>
      </c>
      <c r="L10" s="6" t="s">
        <v>1</v>
      </c>
      <c r="M10" s="6" t="s">
        <v>1</v>
      </c>
      <c r="N10" s="6" t="s">
        <v>1</v>
      </c>
      <c r="O10" s="6" t="s">
        <v>1</v>
      </c>
    </row>
    <row r="11" ht="24" customHeight="1" spans="1:15" x14ac:dyDescent="0.25">
      <c r="A11" s="10" t="s">
        <v>462</v>
      </c>
      <c r="B11" s="10" t="s">
        <v>463</v>
      </c>
      <c r="C11" s="10" t="s">
        <v>464</v>
      </c>
      <c r="D11" s="10" t="s">
        <v>190</v>
      </c>
      <c r="E11" s="10" t="s">
        <v>465</v>
      </c>
      <c r="F11" s="10" t="s">
        <v>466</v>
      </c>
      <c r="G11" s="11" t="s">
        <v>133</v>
      </c>
      <c r="H11" s="10" t="s">
        <v>467</v>
      </c>
      <c r="I11" s="10" t="s">
        <v>468</v>
      </c>
      <c r="J11" s="10" t="s">
        <v>469</v>
      </c>
      <c r="K11" s="10" t="s">
        <v>470</v>
      </c>
      <c r="L11" s="10" t="s">
        <v>471</v>
      </c>
      <c r="M11" s="10" t="s">
        <v>472</v>
      </c>
      <c r="N11" s="10" t="s">
        <v>473</v>
      </c>
      <c r="O11" s="10" t="s">
        <v>474</v>
      </c>
    </row>
    <row r="12" ht="52" customHeight="1" spans="1:15" x14ac:dyDescent="0.25">
      <c r="A12" s="26" t="s">
        <v>137</v>
      </c>
      <c r="B12" s="26" t="s">
        <v>1</v>
      </c>
      <c r="C12" s="26" t="s">
        <v>1</v>
      </c>
      <c r="D12" s="20" t="s">
        <v>1</v>
      </c>
      <c r="E12" s="20" t="s">
        <v>1</v>
      </c>
      <c r="F12" s="26" t="s">
        <v>1</v>
      </c>
      <c r="G12" s="30" t="s">
        <v>475</v>
      </c>
      <c r="H12" s="26" t="s">
        <v>476</v>
      </c>
      <c r="I12" s="20" t="s">
        <v>1</v>
      </c>
      <c r="J12" s="20" t="s">
        <v>1</v>
      </c>
      <c r="K12" s="20" t="s">
        <v>1</v>
      </c>
      <c r="L12" s="20" t="s">
        <v>1</v>
      </c>
      <c r="M12" s="20" t="s">
        <v>1</v>
      </c>
      <c r="N12" s="20" t="s">
        <v>1</v>
      </c>
      <c r="O12" s="26" t="s">
        <v>1</v>
      </c>
    </row>
    <row r="13" ht="7" customHeight="1" spans="1:15" x14ac:dyDescent="0.25">
      <c r="A13" t="s">
        <v>1</v>
      </c>
      <c r="B13" t="s">
        <v>1</v>
      </c>
      <c r="C13" t="s">
        <v>1</v>
      </c>
      <c r="D13" t="s">
        <v>1</v>
      </c>
      <c r="E13" t="s">
        <v>1</v>
      </c>
      <c r="F13" t="s">
        <v>1</v>
      </c>
      <c r="G13" t="s">
        <v>1</v>
      </c>
      <c r="H13" t="s">
        <v>1</v>
      </c>
      <c r="I13" t="s">
        <v>1</v>
      </c>
      <c r="J13" t="s">
        <v>1</v>
      </c>
      <c r="K13" t="s">
        <v>1</v>
      </c>
      <c r="L13" t="s">
        <v>1</v>
      </c>
      <c r="M13" t="s">
        <v>1</v>
      </c>
      <c r="N13" t="s">
        <v>1</v>
      </c>
      <c r="O13" t="s">
        <v>1</v>
      </c>
    </row>
    <row r="14" ht="20" customHeight="1" spans="1:15" x14ac:dyDescent="0.25">
      <c r="A14" s="6" t="s">
        <v>477</v>
      </c>
      <c r="B14" s="6"/>
      <c r="C14" s="6"/>
      <c r="D14" s="6"/>
      <c r="E14" s="6"/>
      <c r="F14" s="6"/>
      <c r="G14" s="6"/>
      <c r="H14" s="6"/>
      <c r="I14" s="6"/>
      <c r="J14" s="6"/>
      <c r="K14" s="6"/>
      <c r="L14" s="6"/>
      <c r="M14" s="6"/>
      <c r="N14" s="6"/>
      <c r="O14" s="6"/>
    </row>
    <row r="15" ht="68" customHeight="1" spans="1:15" x14ac:dyDescent="0.25">
      <c r="A15" s="4" t="s">
        <v>137</v>
      </c>
      <c r="B15" s="4" t="s">
        <v>1</v>
      </c>
      <c r="C15" s="4" t="s">
        <v>478</v>
      </c>
      <c r="D15" s="12" t="s">
        <v>1</v>
      </c>
      <c r="E15" s="12" t="s">
        <v>1</v>
      </c>
      <c r="F15" s="4" t="s">
        <v>1</v>
      </c>
      <c r="G15" s="31" t="s">
        <v>1</v>
      </c>
      <c r="H15" s="4" t="s">
        <v>1</v>
      </c>
      <c r="I15" s="12" t="s">
        <v>1</v>
      </c>
      <c r="J15" s="12" t="s">
        <v>1</v>
      </c>
      <c r="K15" s="12" t="s">
        <v>1</v>
      </c>
      <c r="L15" s="12" t="s">
        <v>1</v>
      </c>
      <c r="M15" s="12" t="s">
        <v>1</v>
      </c>
      <c r="N15" s="12" t="s">
        <v>1</v>
      </c>
      <c r="O15" s="4" t="s">
        <v>1</v>
      </c>
    </row>
    <row r="16" ht="7" customHeight="1" spans="1:15" x14ac:dyDescent="0.25">
      <c r="A16" t="s">
        <v>1</v>
      </c>
      <c r="B16" t="s">
        <v>1</v>
      </c>
      <c r="C16" t="s">
        <v>1</v>
      </c>
      <c r="D16" t="s">
        <v>1</v>
      </c>
      <c r="E16" t="s">
        <v>1</v>
      </c>
      <c r="F16" t="s">
        <v>1</v>
      </c>
      <c r="G16" t="s">
        <v>1</v>
      </c>
      <c r="H16" t="s">
        <v>1</v>
      </c>
      <c r="I16" t="s">
        <v>1</v>
      </c>
      <c r="J16" t="s">
        <v>1</v>
      </c>
      <c r="K16" t="s">
        <v>1</v>
      </c>
      <c r="L16" t="s">
        <v>1</v>
      </c>
      <c r="M16" t="s">
        <v>1</v>
      </c>
      <c r="N16" t="s">
        <v>1</v>
      </c>
      <c r="O16" t="s">
        <v>1</v>
      </c>
    </row>
    <row r="17" ht="20" customHeight="1" spans="1:15" x14ac:dyDescent="0.25">
      <c r="A17" s="6" t="s">
        <v>479</v>
      </c>
      <c r="B17" s="6"/>
      <c r="C17" s="6"/>
      <c r="D17" s="6"/>
      <c r="E17" s="6"/>
      <c r="F17" s="6"/>
      <c r="G17" s="6"/>
      <c r="H17" s="6"/>
      <c r="I17" s="6"/>
      <c r="J17" s="6"/>
      <c r="K17" s="6"/>
      <c r="L17" s="6"/>
      <c r="M17" s="6"/>
      <c r="N17" s="6"/>
      <c r="O17" s="6"/>
    </row>
    <row r="18" ht="20" customHeight="1" spans="1:15" x14ac:dyDescent="0.25">
      <c r="A18" s="26" t="s">
        <v>480</v>
      </c>
      <c r="B18" s="26" t="s">
        <v>463</v>
      </c>
      <c r="C18" s="26" t="s">
        <v>190</v>
      </c>
      <c r="D18" s="20" t="s">
        <v>464</v>
      </c>
      <c r="E18" s="20" t="s">
        <v>133</v>
      </c>
      <c r="F18" s="26" t="s">
        <v>481</v>
      </c>
      <c r="G18" s="30" t="s">
        <v>1</v>
      </c>
      <c r="H18" s="26" t="s">
        <v>1</v>
      </c>
      <c r="I18" s="20" t="s">
        <v>1</v>
      </c>
      <c r="J18" s="20" t="s">
        <v>1</v>
      </c>
      <c r="K18" s="20" t="s">
        <v>1</v>
      </c>
      <c r="L18" s="20" t="s">
        <v>1</v>
      </c>
      <c r="M18" s="20" t="s">
        <v>1</v>
      </c>
      <c r="N18" s="20" t="s">
        <v>1</v>
      </c>
      <c r="O18" s="26" t="s">
        <v>1</v>
      </c>
    </row>
    <row r="19" ht="36" customHeight="1" spans="1:15" x14ac:dyDescent="0.25">
      <c r="A19" s="4" t="s">
        <v>161</v>
      </c>
      <c r="B19" s="4" t="s">
        <v>1</v>
      </c>
      <c r="C19" s="4" t="s">
        <v>1</v>
      </c>
      <c r="D19" s="12" t="s">
        <v>1</v>
      </c>
      <c r="E19" s="12" t="s">
        <v>475</v>
      </c>
      <c r="F19" s="4" t="s">
        <v>482</v>
      </c>
      <c r="G19" s="31" t="s">
        <v>1</v>
      </c>
      <c r="H19" s="4" t="s">
        <v>1</v>
      </c>
      <c r="I19" s="12" t="s">
        <v>1</v>
      </c>
      <c r="J19" s="12" t="s">
        <v>1</v>
      </c>
      <c r="K19" s="12" t="s">
        <v>1</v>
      </c>
      <c r="L19" s="12" t="s">
        <v>1</v>
      </c>
      <c r="M19" s="12" t="s">
        <v>1</v>
      </c>
      <c r="N19" s="12" t="s">
        <v>1</v>
      </c>
      <c r="O19" s="4" t="s">
        <v>1</v>
      </c>
    </row>
  </sheetData>
  <mergeCells count="2">
    <mergeCell ref="A14:O14"/>
    <mergeCell ref="A17:O17"/>
  </mergeCells>
  <pageMargins left="0.35" right="0.35" top="0.55" bottom="0.55" header="0.2" footer="0.2"/>
  <pageSetup orientation="landscape" horizontalDpi="4294967295" verticalDpi="4294967295" scale="100"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I25"/>
  <sheetViews>
    <sheetView workbookViewId="0" showGridLines="0"/>
  </sheetViews>
  <sheetFormatPr defaultRowHeight="20" outlineLevelRow="0" outlineLevelCol="0" x14ac:dyDescent="55" customHeight="1"/>
  <cols>
    <col min="1" max="1" width="30" customWidth="1"/>
    <col min="2" max="2" width="40" customWidth="1"/>
    <col min="3" max="3" width="56" customWidth="1"/>
    <col min="4" max="4" width="10" customWidth="1"/>
    <col min="5" max="5" width="46" customWidth="1"/>
    <col min="6" max="7" width="84" customWidth="1"/>
    <col min="8" max="8" width="80" customWidth="1"/>
    <col min="9" max="9" width="53" customWidth="1"/>
  </cols>
  <sheetData>
    <row r="1" ht="30" customHeight="1" spans="1:9" x14ac:dyDescent="0.25">
      <c r="A1" s="1" t="s">
        <v>63</v>
      </c>
      <c r="B1" s="2"/>
      <c r="C1" s="2"/>
      <c r="D1" s="2"/>
      <c r="E1" s="2"/>
      <c r="F1" s="2"/>
      <c r="G1" s="2"/>
      <c r="H1" s="2"/>
      <c r="I1" s="2"/>
    </row>
    <row r="2" ht="7" customHeight="1" spans="1:9" x14ac:dyDescent="0.25">
      <c r="A2" t="s">
        <v>1</v>
      </c>
      <c r="B2" t="s">
        <v>1</v>
      </c>
      <c r="C2" t="s">
        <v>1</v>
      </c>
      <c r="D2" t="s">
        <v>1</v>
      </c>
      <c r="E2" t="s">
        <v>1</v>
      </c>
      <c r="F2" t="s">
        <v>1</v>
      </c>
      <c r="G2" t="s">
        <v>1</v>
      </c>
      <c r="H2" t="s">
        <v>1</v>
      </c>
      <c r="I2" t="s">
        <v>1</v>
      </c>
    </row>
    <row r="3" ht="20" customHeight="1" spans="1:9" x14ac:dyDescent="0.25">
      <c r="A3" s="3" t="s">
        <v>5</v>
      </c>
      <c r="B3" s="4" t="s">
        <v>6</v>
      </c>
      <c r="C3" s="5" t="s">
        <v>1</v>
      </c>
      <c r="D3" s="5" t="s">
        <v>1</v>
      </c>
      <c r="E3" s="5" t="s">
        <v>1</v>
      </c>
      <c r="F3" s="5" t="s">
        <v>1</v>
      </c>
      <c r="G3" s="5" t="s">
        <v>1</v>
      </c>
      <c r="H3" s="5" t="s">
        <v>1</v>
      </c>
      <c r="I3" s="5" t="s">
        <v>1</v>
      </c>
    </row>
    <row r="4" ht="20" customHeight="1" spans="1:9" x14ac:dyDescent="0.25">
      <c r="A4" s="3" t="s">
        <v>11</v>
      </c>
      <c r="B4" s="7" t="s">
        <v>12</v>
      </c>
      <c r="C4" s="5" t="s">
        <v>1</v>
      </c>
      <c r="D4" s="5" t="s">
        <v>1</v>
      </c>
      <c r="E4" s="5" t="s">
        <v>1</v>
      </c>
      <c r="F4" s="5" t="s">
        <v>1</v>
      </c>
      <c r="G4" s="5" t="s">
        <v>1</v>
      </c>
      <c r="H4" s="5" t="s">
        <v>1</v>
      </c>
      <c r="I4" s="5" t="s">
        <v>1</v>
      </c>
    </row>
    <row r="5" ht="20" customHeight="1" spans="1:9" x14ac:dyDescent="0.25">
      <c r="A5" s="3" t="s">
        <v>13</v>
      </c>
      <c r="B5" s="8" t="s">
        <v>14</v>
      </c>
      <c r="C5" s="5" t="s">
        <v>1</v>
      </c>
      <c r="D5" s="5" t="s">
        <v>1</v>
      </c>
      <c r="E5" s="5" t="s">
        <v>1</v>
      </c>
      <c r="F5" s="5" t="s">
        <v>1</v>
      </c>
      <c r="G5" s="5" t="s">
        <v>1</v>
      </c>
      <c r="H5" s="5" t="s">
        <v>1</v>
      </c>
      <c r="I5" s="5" t="s">
        <v>1</v>
      </c>
    </row>
    <row r="6" ht="20" customHeight="1" spans="1:9" x14ac:dyDescent="0.25">
      <c r="A6" s="3" t="s">
        <v>483</v>
      </c>
      <c r="B6" s="4" t="s">
        <v>484</v>
      </c>
      <c r="C6" s="5" t="s">
        <v>1</v>
      </c>
      <c r="D6" s="5" t="s">
        <v>1</v>
      </c>
      <c r="E6" s="5" t="s">
        <v>1</v>
      </c>
      <c r="F6" s="5" t="s">
        <v>1</v>
      </c>
      <c r="G6" s="5" t="s">
        <v>1</v>
      </c>
      <c r="H6" s="5" t="s">
        <v>1</v>
      </c>
      <c r="I6" s="5" t="s">
        <v>1</v>
      </c>
    </row>
    <row r="7" ht="7" customHeight="1" spans="1:9" x14ac:dyDescent="0.25">
      <c r="A7" t="s">
        <v>1</v>
      </c>
      <c r="B7" t="s">
        <v>1</v>
      </c>
      <c r="C7" t="s">
        <v>1</v>
      </c>
      <c r="D7" t="s">
        <v>1</v>
      </c>
      <c r="E7" t="s">
        <v>1</v>
      </c>
      <c r="F7" t="s">
        <v>1</v>
      </c>
      <c r="G7" t="s">
        <v>1</v>
      </c>
      <c r="H7" t="s">
        <v>1</v>
      </c>
      <c r="I7" t="s">
        <v>1</v>
      </c>
    </row>
    <row r="8" ht="24" customHeight="1" spans="1:9" x14ac:dyDescent="0.25">
      <c r="A8" s="10" t="s">
        <v>485</v>
      </c>
      <c r="B8" s="10" t="s">
        <v>486</v>
      </c>
      <c r="C8" s="10" t="s">
        <v>487</v>
      </c>
      <c r="D8" s="11" t="s">
        <v>488</v>
      </c>
      <c r="E8" s="10" t="s">
        <v>489</v>
      </c>
      <c r="F8" s="10" t="s">
        <v>490</v>
      </c>
      <c r="G8" s="10" t="s">
        <v>491</v>
      </c>
      <c r="H8" s="10" t="s">
        <v>135</v>
      </c>
      <c r="I8" s="10" t="s">
        <v>492</v>
      </c>
    </row>
    <row r="9" ht="36" customHeight="1" spans="1:9" x14ac:dyDescent="0.25">
      <c r="A9" s="4" t="s">
        <v>493</v>
      </c>
      <c r="B9" s="4" t="s">
        <v>494</v>
      </c>
      <c r="C9" s="4" t="s">
        <v>495</v>
      </c>
      <c r="D9" s="31" t="s">
        <v>475</v>
      </c>
      <c r="E9" s="4" t="s">
        <v>496</v>
      </c>
      <c r="F9" s="4" t="s">
        <v>497</v>
      </c>
      <c r="G9" s="4" t="s">
        <v>498</v>
      </c>
      <c r="H9" s="4" t="s">
        <v>499</v>
      </c>
      <c r="I9" s="4" t="s">
        <v>500</v>
      </c>
    </row>
    <row r="10" ht="36" customHeight="1" spans="1:9" x14ac:dyDescent="0.25">
      <c r="A10" s="26" t="s">
        <v>501</v>
      </c>
      <c r="B10" s="26" t="s">
        <v>502</v>
      </c>
      <c r="C10" s="26" t="s">
        <v>503</v>
      </c>
      <c r="D10" s="30" t="s">
        <v>475</v>
      </c>
      <c r="E10" s="26" t="s">
        <v>496</v>
      </c>
      <c r="F10" s="26" t="s">
        <v>504</v>
      </c>
      <c r="G10" s="26" t="s">
        <v>505</v>
      </c>
      <c r="H10" s="26" t="s">
        <v>499</v>
      </c>
      <c r="I10" s="26" t="s">
        <v>500</v>
      </c>
    </row>
    <row r="11" ht="36" customHeight="1" spans="1:9" x14ac:dyDescent="0.25">
      <c r="A11" s="4" t="s">
        <v>506</v>
      </c>
      <c r="B11" s="4" t="s">
        <v>507</v>
      </c>
      <c r="C11" s="4" t="s">
        <v>508</v>
      </c>
      <c r="D11" s="31" t="s">
        <v>475</v>
      </c>
      <c r="E11" s="4" t="s">
        <v>496</v>
      </c>
      <c r="F11" s="4" t="s">
        <v>509</v>
      </c>
      <c r="G11" s="4" t="s">
        <v>510</v>
      </c>
      <c r="H11" s="4" t="s">
        <v>499</v>
      </c>
      <c r="I11" s="4" t="s">
        <v>500</v>
      </c>
    </row>
    <row r="12" ht="36" customHeight="1" spans="1:9" x14ac:dyDescent="0.25">
      <c r="A12" s="26" t="s">
        <v>511</v>
      </c>
      <c r="B12" s="26" t="s">
        <v>512</v>
      </c>
      <c r="C12" s="26" t="s">
        <v>513</v>
      </c>
      <c r="D12" s="30" t="s">
        <v>475</v>
      </c>
      <c r="E12" s="26" t="s">
        <v>496</v>
      </c>
      <c r="F12" s="26" t="s">
        <v>514</v>
      </c>
      <c r="G12" s="26" t="s">
        <v>515</v>
      </c>
      <c r="H12" s="26" t="s">
        <v>499</v>
      </c>
      <c r="I12" s="26" t="s">
        <v>500</v>
      </c>
    </row>
    <row r="13" ht="36" customHeight="1" spans="1:9" x14ac:dyDescent="0.25">
      <c r="A13" s="4" t="s">
        <v>516</v>
      </c>
      <c r="B13" s="4" t="s">
        <v>517</v>
      </c>
      <c r="C13" s="4" t="s">
        <v>518</v>
      </c>
      <c r="D13" s="31" t="s">
        <v>475</v>
      </c>
      <c r="E13" s="4" t="s">
        <v>496</v>
      </c>
      <c r="F13" s="4" t="s">
        <v>519</v>
      </c>
      <c r="G13" s="4" t="s">
        <v>520</v>
      </c>
      <c r="H13" s="4" t="s">
        <v>499</v>
      </c>
      <c r="I13" s="4" t="s">
        <v>500</v>
      </c>
    </row>
    <row r="14" ht="36" customHeight="1" spans="1:9" x14ac:dyDescent="0.25">
      <c r="A14" s="26" t="s">
        <v>521</v>
      </c>
      <c r="B14" s="26" t="s">
        <v>522</v>
      </c>
      <c r="C14" s="26" t="s">
        <v>523</v>
      </c>
      <c r="D14" s="30" t="s">
        <v>475</v>
      </c>
      <c r="E14" s="26" t="s">
        <v>496</v>
      </c>
      <c r="F14" s="26" t="s">
        <v>524</v>
      </c>
      <c r="G14" s="26" t="s">
        <v>525</v>
      </c>
      <c r="H14" s="26" t="s">
        <v>499</v>
      </c>
      <c r="I14" s="26" t="s">
        <v>500</v>
      </c>
    </row>
    <row r="15" ht="36" customHeight="1" spans="1:9" x14ac:dyDescent="0.25">
      <c r="A15" s="4" t="s">
        <v>526</v>
      </c>
      <c r="B15" s="4" t="s">
        <v>527</v>
      </c>
      <c r="C15" s="4" t="s">
        <v>528</v>
      </c>
      <c r="D15" s="31" t="s">
        <v>475</v>
      </c>
      <c r="E15" s="4" t="s">
        <v>496</v>
      </c>
      <c r="F15" s="4" t="s">
        <v>529</v>
      </c>
      <c r="G15" s="4" t="s">
        <v>530</v>
      </c>
      <c r="H15" s="4" t="s">
        <v>499</v>
      </c>
      <c r="I15" s="4" t="s">
        <v>500</v>
      </c>
    </row>
    <row r="16" ht="84" customHeight="1" spans="1:9" x14ac:dyDescent="0.25">
      <c r="A16" s="26" t="s">
        <v>531</v>
      </c>
      <c r="B16" s="26" t="s">
        <v>532</v>
      </c>
      <c r="C16" s="26" t="s">
        <v>533</v>
      </c>
      <c r="D16" s="30" t="s">
        <v>475</v>
      </c>
      <c r="E16" s="26" t="s">
        <v>496</v>
      </c>
      <c r="F16" s="26" t="s">
        <v>534</v>
      </c>
      <c r="G16" s="26" t="s">
        <v>535</v>
      </c>
      <c r="H16" s="26" t="s">
        <v>499</v>
      </c>
      <c r="I16" s="26" t="s">
        <v>500</v>
      </c>
    </row>
    <row r="17" ht="52" customHeight="1" spans="1:9" x14ac:dyDescent="0.25">
      <c r="A17" s="4" t="s">
        <v>536</v>
      </c>
      <c r="B17" s="4" t="s">
        <v>537</v>
      </c>
      <c r="C17" s="4" t="s">
        <v>538</v>
      </c>
      <c r="D17" s="31" t="s">
        <v>475</v>
      </c>
      <c r="E17" s="4" t="s">
        <v>496</v>
      </c>
      <c r="F17" s="4" t="s">
        <v>539</v>
      </c>
      <c r="G17" s="4" t="s">
        <v>540</v>
      </c>
      <c r="H17" s="4" t="s">
        <v>499</v>
      </c>
      <c r="I17" s="4" t="s">
        <v>500</v>
      </c>
    </row>
    <row r="18" ht="52" customHeight="1" spans="1:9" x14ac:dyDescent="0.25">
      <c r="A18" s="26" t="s">
        <v>541</v>
      </c>
      <c r="B18" s="26" t="s">
        <v>542</v>
      </c>
      <c r="C18" s="26" t="s">
        <v>543</v>
      </c>
      <c r="D18" s="30" t="s">
        <v>475</v>
      </c>
      <c r="E18" s="26" t="s">
        <v>496</v>
      </c>
      <c r="F18" s="26" t="s">
        <v>544</v>
      </c>
      <c r="G18" s="26" t="s">
        <v>545</v>
      </c>
      <c r="H18" s="26" t="s">
        <v>499</v>
      </c>
      <c r="I18" s="26" t="s">
        <v>500</v>
      </c>
    </row>
    <row r="19" ht="84" customHeight="1" spans="1:9" x14ac:dyDescent="0.25">
      <c r="A19" s="4" t="s">
        <v>546</v>
      </c>
      <c r="B19" s="4" t="s">
        <v>547</v>
      </c>
      <c r="C19" s="4" t="s">
        <v>548</v>
      </c>
      <c r="D19" s="31" t="s">
        <v>475</v>
      </c>
      <c r="E19" s="4" t="s">
        <v>496</v>
      </c>
      <c r="F19" s="4" t="s">
        <v>549</v>
      </c>
      <c r="G19" s="4" t="s">
        <v>550</v>
      </c>
      <c r="H19" s="4" t="s">
        <v>499</v>
      </c>
      <c r="I19" s="4" t="s">
        <v>500</v>
      </c>
    </row>
    <row r="20" ht="100" customHeight="1" spans="1:9" x14ac:dyDescent="0.25">
      <c r="A20" s="26" t="s">
        <v>551</v>
      </c>
      <c r="B20" s="26" t="s">
        <v>552</v>
      </c>
      <c r="C20" s="26" t="s">
        <v>553</v>
      </c>
      <c r="D20" s="30" t="s">
        <v>475</v>
      </c>
      <c r="E20" s="26" t="s">
        <v>496</v>
      </c>
      <c r="F20" s="26" t="s">
        <v>554</v>
      </c>
      <c r="G20" s="26" t="s">
        <v>555</v>
      </c>
      <c r="H20" s="26" t="s">
        <v>499</v>
      </c>
      <c r="I20" s="26" t="s">
        <v>500</v>
      </c>
    </row>
    <row r="21" ht="68" customHeight="1" spans="1:9" x14ac:dyDescent="0.25">
      <c r="A21" s="4" t="s">
        <v>556</v>
      </c>
      <c r="B21" s="4" t="s">
        <v>557</v>
      </c>
      <c r="C21" s="4" t="s">
        <v>558</v>
      </c>
      <c r="D21" s="31" t="s">
        <v>475</v>
      </c>
      <c r="E21" s="4" t="s">
        <v>496</v>
      </c>
      <c r="F21" s="4" t="s">
        <v>559</v>
      </c>
      <c r="G21" s="4" t="s">
        <v>560</v>
      </c>
      <c r="H21" s="4" t="s">
        <v>499</v>
      </c>
      <c r="I21" s="4" t="s">
        <v>500</v>
      </c>
    </row>
    <row r="22" ht="68" customHeight="1" spans="1:9" x14ac:dyDescent="0.25">
      <c r="A22" s="26" t="s">
        <v>561</v>
      </c>
      <c r="B22" s="26" t="s">
        <v>562</v>
      </c>
      <c r="C22" s="26" t="s">
        <v>563</v>
      </c>
      <c r="D22" s="30" t="s">
        <v>475</v>
      </c>
      <c r="E22" s="26" t="s">
        <v>496</v>
      </c>
      <c r="F22" s="26" t="s">
        <v>564</v>
      </c>
      <c r="G22" s="26" t="s">
        <v>565</v>
      </c>
      <c r="H22" s="26" t="s">
        <v>499</v>
      </c>
      <c r="I22" s="26" t="s">
        <v>500</v>
      </c>
    </row>
    <row r="23" ht="36" customHeight="1" spans="1:9" x14ac:dyDescent="0.25">
      <c r="A23" s="4" t="s">
        <v>566</v>
      </c>
      <c r="B23" s="4" t="s">
        <v>567</v>
      </c>
      <c r="C23" s="4" t="s">
        <v>568</v>
      </c>
      <c r="D23" s="31" t="s">
        <v>475</v>
      </c>
      <c r="E23" s="4" t="s">
        <v>496</v>
      </c>
      <c r="F23" s="4" t="s">
        <v>569</v>
      </c>
      <c r="G23" s="4" t="s">
        <v>570</v>
      </c>
      <c r="H23" s="4" t="s">
        <v>499</v>
      </c>
      <c r="I23" s="4" t="s">
        <v>500</v>
      </c>
    </row>
    <row r="24" ht="68" customHeight="1" spans="1:9" x14ac:dyDescent="0.25">
      <c r="A24" s="26" t="s">
        <v>571</v>
      </c>
      <c r="B24" s="26" t="s">
        <v>572</v>
      </c>
      <c r="C24" s="26" t="s">
        <v>573</v>
      </c>
      <c r="D24" s="30" t="s">
        <v>475</v>
      </c>
      <c r="E24" s="26" t="s">
        <v>496</v>
      </c>
      <c r="F24" s="26" t="s">
        <v>574</v>
      </c>
      <c r="G24" s="26" t="s">
        <v>575</v>
      </c>
      <c r="H24" s="26" t="s">
        <v>499</v>
      </c>
      <c r="I24" s="26" t="s">
        <v>500</v>
      </c>
    </row>
    <row r="25" ht="52" customHeight="1" spans="1:9" x14ac:dyDescent="0.25">
      <c r="A25" s="4" t="s">
        <v>576</v>
      </c>
      <c r="B25" s="4" t="s">
        <v>577</v>
      </c>
      <c r="C25" s="4" t="s">
        <v>578</v>
      </c>
      <c r="D25" s="31" t="s">
        <v>475</v>
      </c>
      <c r="E25" s="4" t="s">
        <v>496</v>
      </c>
      <c r="F25" s="4" t="s">
        <v>579</v>
      </c>
      <c r="G25" s="4" t="s">
        <v>580</v>
      </c>
      <c r="H25" s="4" t="s">
        <v>499</v>
      </c>
      <c r="I25" s="4" t="s">
        <v>500</v>
      </c>
    </row>
  </sheetData>
  <pageMargins left="0.35" right="0.35" top="0.55" bottom="0.55" header="0.2" footer="0.2"/>
  <pageSetup orientation="landscape" horizontalDpi="4294967295" verticalDpi="4294967295" scale="100"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C20"/>
  <sheetViews>
    <sheetView workbookViewId="0" showGridLines="0"/>
  </sheetViews>
  <sheetFormatPr defaultRowHeight="20" outlineLevelRow="0" outlineLevelCol="0" x14ac:dyDescent="55" customHeight="1"/>
  <cols>
    <col min="1" max="1" width="60" customWidth="1"/>
    <col min="2" max="2" width="10" customWidth="1"/>
    <col min="3" max="3" width="96" customWidth="1"/>
  </cols>
  <sheetData>
    <row r="1" ht="30" customHeight="1" spans="1:3" x14ac:dyDescent="0.25">
      <c r="A1" s="1" t="s">
        <v>581</v>
      </c>
      <c r="B1" s="2"/>
      <c r="C1" s="2"/>
    </row>
    <row r="2" ht="22" customHeight="1" spans="1:3" x14ac:dyDescent="0.25">
      <c r="A2" s="32" t="s">
        <v>582</v>
      </c>
      <c r="B2" s="32" t="s">
        <v>1</v>
      </c>
      <c r="C2" s="32" t="s">
        <v>1</v>
      </c>
    </row>
    <row r="3" ht="24" customHeight="1" spans="1:3" x14ac:dyDescent="0.25">
      <c r="A3" s="10" t="s">
        <v>583</v>
      </c>
      <c r="B3" s="11" t="s">
        <v>488</v>
      </c>
      <c r="C3" s="10" t="s">
        <v>584</v>
      </c>
    </row>
    <row r="4" ht="20" customHeight="1" spans="1:3" x14ac:dyDescent="0.25">
      <c r="A4" s="26" t="s">
        <v>495</v>
      </c>
      <c r="B4" s="8" t="s">
        <v>475</v>
      </c>
      <c r="C4" s="26" t="s">
        <v>498</v>
      </c>
    </row>
    <row r="5" ht="36" customHeight="1" spans="1:3" x14ac:dyDescent="0.25">
      <c r="A5" s="4" t="s">
        <v>503</v>
      </c>
      <c r="B5" s="8" t="s">
        <v>475</v>
      </c>
      <c r="C5" s="4" t="s">
        <v>505</v>
      </c>
    </row>
    <row r="6" ht="36" customHeight="1" spans="1:3" x14ac:dyDescent="0.25">
      <c r="A6" s="26" t="s">
        <v>508</v>
      </c>
      <c r="B6" s="8" t="s">
        <v>475</v>
      </c>
      <c r="C6" s="26" t="s">
        <v>510</v>
      </c>
    </row>
    <row r="7" ht="20" customHeight="1" spans="1:3" x14ac:dyDescent="0.25">
      <c r="A7" s="4" t="s">
        <v>513</v>
      </c>
      <c r="B7" s="8" t="s">
        <v>475</v>
      </c>
      <c r="C7" s="4" t="s">
        <v>515</v>
      </c>
    </row>
    <row r="8" ht="20" customHeight="1" spans="1:3" x14ac:dyDescent="0.25">
      <c r="A8" s="26" t="s">
        <v>518</v>
      </c>
      <c r="B8" s="8" t="s">
        <v>475</v>
      </c>
      <c r="C8" s="26" t="s">
        <v>520</v>
      </c>
    </row>
    <row r="9" ht="20" customHeight="1" spans="1:3" x14ac:dyDescent="0.25">
      <c r="A9" s="4" t="s">
        <v>523</v>
      </c>
      <c r="B9" s="8" t="s">
        <v>475</v>
      </c>
      <c r="C9" s="4" t="s">
        <v>525</v>
      </c>
    </row>
    <row r="10" ht="36" customHeight="1" spans="1:3" x14ac:dyDescent="0.25">
      <c r="A10" s="26" t="s">
        <v>528</v>
      </c>
      <c r="B10" s="8" t="s">
        <v>475</v>
      </c>
      <c r="C10" s="26" t="s">
        <v>530</v>
      </c>
    </row>
    <row r="11" ht="20" customHeight="1" spans="1:3" x14ac:dyDescent="0.25">
      <c r="A11" s="4" t="s">
        <v>533</v>
      </c>
      <c r="B11" s="8" t="s">
        <v>475</v>
      </c>
      <c r="C11" s="4" t="s">
        <v>535</v>
      </c>
    </row>
    <row r="12" ht="20" customHeight="1" spans="1:3" x14ac:dyDescent="0.25">
      <c r="A12" s="26" t="s">
        <v>538</v>
      </c>
      <c r="B12" s="8" t="s">
        <v>475</v>
      </c>
      <c r="C12" s="26" t="s">
        <v>540</v>
      </c>
    </row>
    <row r="13" ht="36" customHeight="1" spans="1:3" x14ac:dyDescent="0.25">
      <c r="A13" s="4" t="s">
        <v>543</v>
      </c>
      <c r="B13" s="8" t="s">
        <v>475</v>
      </c>
      <c r="C13" s="4" t="s">
        <v>545</v>
      </c>
    </row>
    <row r="14" ht="68" customHeight="1" spans="1:3" x14ac:dyDescent="0.25">
      <c r="A14" s="26" t="s">
        <v>548</v>
      </c>
      <c r="B14" s="8" t="s">
        <v>475</v>
      </c>
      <c r="C14" s="26" t="s">
        <v>550</v>
      </c>
    </row>
    <row r="15" ht="36" customHeight="1" spans="1:3" x14ac:dyDescent="0.25">
      <c r="A15" s="4" t="s">
        <v>553</v>
      </c>
      <c r="B15" s="8" t="s">
        <v>475</v>
      </c>
      <c r="C15" s="4" t="s">
        <v>555</v>
      </c>
    </row>
    <row r="16" ht="52" customHeight="1" spans="1:3" x14ac:dyDescent="0.25">
      <c r="A16" s="26" t="s">
        <v>558</v>
      </c>
      <c r="B16" s="8" t="s">
        <v>475</v>
      </c>
      <c r="C16" s="26" t="s">
        <v>560</v>
      </c>
    </row>
    <row r="17" ht="36" customHeight="1" spans="1:3" x14ac:dyDescent="0.25">
      <c r="A17" s="4" t="s">
        <v>563</v>
      </c>
      <c r="B17" s="8" t="s">
        <v>475</v>
      </c>
      <c r="C17" s="4" t="s">
        <v>565</v>
      </c>
    </row>
    <row r="18" ht="36" customHeight="1" spans="1:3" x14ac:dyDescent="0.25">
      <c r="A18" s="26" t="s">
        <v>568</v>
      </c>
      <c r="B18" s="8" t="s">
        <v>475</v>
      </c>
      <c r="C18" s="26" t="s">
        <v>570</v>
      </c>
    </row>
    <row r="19" ht="36" customHeight="1" spans="1:3" x14ac:dyDescent="0.25">
      <c r="A19" s="4" t="s">
        <v>573</v>
      </c>
      <c r="B19" s="8" t="s">
        <v>475</v>
      </c>
      <c r="C19" s="4" t="s">
        <v>575</v>
      </c>
    </row>
    <row r="20" ht="36" customHeight="1" spans="1:3" x14ac:dyDescent="0.25">
      <c r="A20" s="26" t="s">
        <v>578</v>
      </c>
      <c r="B20" s="8" t="s">
        <v>475</v>
      </c>
      <c r="C20" s="26" t="s">
        <v>580</v>
      </c>
    </row>
  </sheetData>
  <pageMargins left="0.35" right="0.35" top="0.55" bottom="0.55" header="0.2" footer="0.2"/>
  <pageSetup orientation="landscape" horizontalDpi="4294967295" verticalDpi="4294967295" scale="100"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J4"/>
  <sheetViews>
    <sheetView workbookViewId="0" showGridLines="0"/>
  </sheetViews>
  <sheetFormatPr defaultRowHeight="20" outlineLevelRow="0" outlineLevelCol="0" x14ac:dyDescent="55" customHeight="1"/>
  <cols>
    <col min="1" max="1" width="13" customWidth="1"/>
    <col min="2" max="2" width="12" customWidth="1"/>
    <col min="3" max="3" width="40" customWidth="1"/>
    <col min="4" max="4" width="46" customWidth="1"/>
    <col min="5" max="5" width="37" customWidth="1"/>
    <col min="6" max="7" width="26" customWidth="1"/>
    <col min="8" max="8" width="10" customWidth="1"/>
    <col min="9" max="9" width="18" customWidth="1"/>
    <col min="10" max="10" width="46" customWidth="1"/>
  </cols>
  <sheetData>
    <row r="1" ht="30" customHeight="1" spans="1:10" x14ac:dyDescent="0.25">
      <c r="A1" s="1" t="s">
        <v>141</v>
      </c>
      <c r="B1" s="2"/>
      <c r="C1" s="2"/>
      <c r="D1" s="2"/>
      <c r="E1" s="2"/>
      <c r="F1" s="2"/>
      <c r="G1" s="2"/>
      <c r="H1" s="2"/>
      <c r="I1" s="2"/>
      <c r="J1" s="2"/>
    </row>
    <row r="2" ht="7" customHeight="1" spans="1:10" x14ac:dyDescent="0.25">
      <c r="A2" t="s">
        <v>1</v>
      </c>
      <c r="B2" t="s">
        <v>1</v>
      </c>
      <c r="C2" t="s">
        <v>1</v>
      </c>
      <c r="D2" t="s">
        <v>1</v>
      </c>
      <c r="E2" t="s">
        <v>1</v>
      </c>
      <c r="F2" t="s">
        <v>1</v>
      </c>
      <c r="G2" t="s">
        <v>1</v>
      </c>
      <c r="H2" t="s">
        <v>1</v>
      </c>
      <c r="I2" t="s">
        <v>1</v>
      </c>
      <c r="J2" t="s">
        <v>1</v>
      </c>
    </row>
    <row r="3" ht="24" customHeight="1" spans="1:10" x14ac:dyDescent="0.25">
      <c r="A3" s="10" t="s">
        <v>585</v>
      </c>
      <c r="B3" s="10" t="s">
        <v>486</v>
      </c>
      <c r="C3" s="10" t="s">
        <v>5</v>
      </c>
      <c r="D3" s="10" t="s">
        <v>586</v>
      </c>
      <c r="E3" s="10" t="s">
        <v>587</v>
      </c>
      <c r="F3" s="10" t="s">
        <v>588</v>
      </c>
      <c r="G3" s="10" t="s">
        <v>589</v>
      </c>
      <c r="H3" s="11" t="s">
        <v>133</v>
      </c>
      <c r="I3" s="10" t="s">
        <v>590</v>
      </c>
      <c r="J3" s="10" t="s">
        <v>591</v>
      </c>
    </row>
    <row r="4" ht="20" customHeight="1" spans="1:10" x14ac:dyDescent="0.25">
      <c r="A4" s="20" t="s">
        <v>137</v>
      </c>
      <c r="B4" s="20" t="s">
        <v>1</v>
      </c>
      <c r="C4" s="26" t="s">
        <v>6</v>
      </c>
      <c r="D4" s="26" t="s">
        <v>592</v>
      </c>
      <c r="E4" s="26" t="s">
        <v>593</v>
      </c>
      <c r="F4" s="26" t="s">
        <v>1</v>
      </c>
      <c r="G4" s="26" t="s">
        <v>161</v>
      </c>
      <c r="H4" s="8" t="s">
        <v>138</v>
      </c>
      <c r="I4" s="20" t="s">
        <v>594</v>
      </c>
      <c r="J4" s="26" t="s">
        <v>592</v>
      </c>
    </row>
  </sheetData>
  <pageMargins left="0.35" right="0.35" top="0.55" bottom="0.55" header="0.2" footer="0.2"/>
  <pageSetup orientation="landscape" horizontalDpi="4294967295" verticalDpi="4294967295" scale="100" fitToWidth="1" fitToHeight="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20"/>
  <sheetViews>
    <sheetView workbookViewId="0" showGridLines="0"/>
  </sheetViews>
  <sheetFormatPr defaultRowHeight="20" outlineLevelRow="0" outlineLevelCol="0" x14ac:dyDescent="55" customHeight="1"/>
  <cols>
    <col min="1" max="1" width="12" customWidth="1"/>
    <col min="2" max="2" width="56" customWidth="1"/>
    <col min="3" max="3" width="72" customWidth="1"/>
    <col min="4" max="4" width="56" customWidth="1"/>
    <col min="5" max="6" width="12" customWidth="1"/>
    <col min="7" max="7" width="20" customWidth="1"/>
    <col min="8" max="8" width="56" customWidth="1"/>
  </cols>
  <sheetData>
    <row r="1" ht="30" customHeight="1" spans="1:8" x14ac:dyDescent="0.25">
      <c r="A1" s="1" t="s">
        <v>595</v>
      </c>
      <c r="B1" s="2"/>
      <c r="C1" s="2"/>
      <c r="D1" s="2"/>
      <c r="E1" s="2"/>
      <c r="F1" s="2"/>
      <c r="G1" s="2"/>
      <c r="H1" s="2"/>
    </row>
    <row r="2" ht="7" customHeight="1" spans="1:8" x14ac:dyDescent="0.25">
      <c r="A2" t="s">
        <v>1</v>
      </c>
      <c r="B2" t="s">
        <v>1</v>
      </c>
      <c r="C2" t="s">
        <v>1</v>
      </c>
      <c r="D2" t="s">
        <v>1</v>
      </c>
      <c r="E2" t="s">
        <v>1</v>
      </c>
      <c r="F2" t="s">
        <v>1</v>
      </c>
      <c r="G2" t="s">
        <v>1</v>
      </c>
      <c r="H2" t="s">
        <v>1</v>
      </c>
    </row>
    <row r="3" ht="24" customHeight="1" spans="1:8" x14ac:dyDescent="0.25">
      <c r="A3" s="11" t="s">
        <v>486</v>
      </c>
      <c r="B3" s="10" t="s">
        <v>596</v>
      </c>
      <c r="C3" s="10" t="s">
        <v>597</v>
      </c>
      <c r="D3" s="10" t="s">
        <v>598</v>
      </c>
      <c r="E3" s="10" t="s">
        <v>599</v>
      </c>
      <c r="F3" s="10" t="s">
        <v>600</v>
      </c>
      <c r="G3" s="10" t="s">
        <v>601</v>
      </c>
      <c r="H3" s="10" t="s">
        <v>602</v>
      </c>
    </row>
    <row r="4" ht="36" customHeight="1" spans="1:8" x14ac:dyDescent="0.25">
      <c r="A4" s="30" t="s">
        <v>494</v>
      </c>
      <c r="B4" s="26" t="s">
        <v>495</v>
      </c>
      <c r="C4" s="26" t="s">
        <v>497</v>
      </c>
      <c r="D4" s="26" t="s">
        <v>603</v>
      </c>
      <c r="E4" s="20" t="s">
        <v>604</v>
      </c>
      <c r="F4" s="20" t="s">
        <v>605</v>
      </c>
      <c r="G4" s="20" t="s">
        <v>581</v>
      </c>
      <c r="H4" s="26" t="s">
        <v>606</v>
      </c>
    </row>
    <row r="5" ht="36" customHeight="1" spans="1:8" x14ac:dyDescent="0.25">
      <c r="A5" s="31" t="s">
        <v>502</v>
      </c>
      <c r="B5" s="4" t="s">
        <v>503</v>
      </c>
      <c r="C5" s="4" t="s">
        <v>504</v>
      </c>
      <c r="D5" s="4" t="s">
        <v>603</v>
      </c>
      <c r="E5" s="12" t="s">
        <v>604</v>
      </c>
      <c r="F5" s="12" t="s">
        <v>605</v>
      </c>
      <c r="G5" s="12" t="s">
        <v>581</v>
      </c>
      <c r="H5" s="4" t="s">
        <v>606</v>
      </c>
    </row>
    <row r="6" ht="36" customHeight="1" spans="1:8" x14ac:dyDescent="0.25">
      <c r="A6" s="30" t="s">
        <v>507</v>
      </c>
      <c r="B6" s="26" t="s">
        <v>508</v>
      </c>
      <c r="C6" s="26" t="s">
        <v>509</v>
      </c>
      <c r="D6" s="26" t="s">
        <v>603</v>
      </c>
      <c r="E6" s="20" t="s">
        <v>604</v>
      </c>
      <c r="F6" s="20" t="s">
        <v>605</v>
      </c>
      <c r="G6" s="20" t="s">
        <v>581</v>
      </c>
      <c r="H6" s="26" t="s">
        <v>606</v>
      </c>
    </row>
    <row r="7" ht="36" customHeight="1" spans="1:8" x14ac:dyDescent="0.25">
      <c r="A7" s="31" t="s">
        <v>512</v>
      </c>
      <c r="B7" s="4" t="s">
        <v>513</v>
      </c>
      <c r="C7" s="4" t="s">
        <v>514</v>
      </c>
      <c r="D7" s="4" t="s">
        <v>603</v>
      </c>
      <c r="E7" s="12" t="s">
        <v>604</v>
      </c>
      <c r="F7" s="12" t="s">
        <v>605</v>
      </c>
      <c r="G7" s="12" t="s">
        <v>581</v>
      </c>
      <c r="H7" s="4" t="s">
        <v>606</v>
      </c>
    </row>
    <row r="8" ht="52" customHeight="1" spans="1:8" x14ac:dyDescent="0.25">
      <c r="A8" s="30" t="s">
        <v>517</v>
      </c>
      <c r="B8" s="26" t="s">
        <v>518</v>
      </c>
      <c r="C8" s="26" t="s">
        <v>519</v>
      </c>
      <c r="D8" s="26" t="s">
        <v>603</v>
      </c>
      <c r="E8" s="20" t="s">
        <v>604</v>
      </c>
      <c r="F8" s="20" t="s">
        <v>605</v>
      </c>
      <c r="G8" s="20" t="s">
        <v>581</v>
      </c>
      <c r="H8" s="26" t="s">
        <v>606</v>
      </c>
    </row>
    <row r="9" ht="36" customHeight="1" spans="1:8" x14ac:dyDescent="0.25">
      <c r="A9" s="31" t="s">
        <v>522</v>
      </c>
      <c r="B9" s="4" t="s">
        <v>523</v>
      </c>
      <c r="C9" s="4" t="s">
        <v>524</v>
      </c>
      <c r="D9" s="4" t="s">
        <v>603</v>
      </c>
      <c r="E9" s="12" t="s">
        <v>604</v>
      </c>
      <c r="F9" s="12" t="s">
        <v>605</v>
      </c>
      <c r="G9" s="12" t="s">
        <v>581</v>
      </c>
      <c r="H9" s="4" t="s">
        <v>606</v>
      </c>
    </row>
    <row r="10" ht="52" customHeight="1" spans="1:8" x14ac:dyDescent="0.25">
      <c r="A10" s="30" t="s">
        <v>527</v>
      </c>
      <c r="B10" s="26" t="s">
        <v>528</v>
      </c>
      <c r="C10" s="26" t="s">
        <v>529</v>
      </c>
      <c r="D10" s="26" t="s">
        <v>603</v>
      </c>
      <c r="E10" s="20" t="s">
        <v>607</v>
      </c>
      <c r="F10" s="20" t="s">
        <v>605</v>
      </c>
      <c r="G10" s="20" t="s">
        <v>581</v>
      </c>
      <c r="H10" s="26" t="s">
        <v>606</v>
      </c>
    </row>
    <row r="11" ht="100" customHeight="1" spans="1:8" x14ac:dyDescent="0.25">
      <c r="A11" s="31" t="s">
        <v>532</v>
      </c>
      <c r="B11" s="4" t="s">
        <v>533</v>
      </c>
      <c r="C11" s="4" t="s">
        <v>534</v>
      </c>
      <c r="D11" s="4" t="s">
        <v>608</v>
      </c>
      <c r="E11" s="12" t="s">
        <v>604</v>
      </c>
      <c r="F11" s="12" t="s">
        <v>605</v>
      </c>
      <c r="G11" s="12" t="s">
        <v>581</v>
      </c>
      <c r="H11" s="4" t="s">
        <v>606</v>
      </c>
    </row>
    <row r="12" ht="52" customHeight="1" spans="1:8" x14ac:dyDescent="0.25">
      <c r="A12" s="30" t="s">
        <v>537</v>
      </c>
      <c r="B12" s="26" t="s">
        <v>538</v>
      </c>
      <c r="C12" s="26" t="s">
        <v>539</v>
      </c>
      <c r="D12" s="26" t="s">
        <v>608</v>
      </c>
      <c r="E12" s="20" t="s">
        <v>604</v>
      </c>
      <c r="F12" s="20" t="s">
        <v>605</v>
      </c>
      <c r="G12" s="20" t="s">
        <v>581</v>
      </c>
      <c r="H12" s="26" t="s">
        <v>609</v>
      </c>
    </row>
    <row r="13" ht="52" customHeight="1" spans="1:8" x14ac:dyDescent="0.25">
      <c r="A13" s="31" t="s">
        <v>542</v>
      </c>
      <c r="B13" s="4" t="s">
        <v>543</v>
      </c>
      <c r="C13" s="4" t="s">
        <v>544</v>
      </c>
      <c r="D13" s="4" t="s">
        <v>603</v>
      </c>
      <c r="E13" s="12" t="s">
        <v>604</v>
      </c>
      <c r="F13" s="12" t="s">
        <v>605</v>
      </c>
      <c r="G13" s="12" t="s">
        <v>581</v>
      </c>
      <c r="H13" s="4" t="s">
        <v>609</v>
      </c>
    </row>
    <row r="14" ht="68" customHeight="1" spans="1:8" x14ac:dyDescent="0.25">
      <c r="A14" s="30" t="s">
        <v>557</v>
      </c>
      <c r="B14" s="26" t="s">
        <v>558</v>
      </c>
      <c r="C14" s="26" t="s">
        <v>559</v>
      </c>
      <c r="D14" s="26" t="s">
        <v>610</v>
      </c>
      <c r="E14" s="20" t="s">
        <v>607</v>
      </c>
      <c r="F14" s="20" t="s">
        <v>605</v>
      </c>
      <c r="G14" s="20" t="s">
        <v>203</v>
      </c>
      <c r="H14" s="26" t="s">
        <v>611</v>
      </c>
    </row>
    <row r="15" ht="68" customHeight="1" spans="1:8" x14ac:dyDescent="0.25">
      <c r="A15" s="31" t="s">
        <v>562</v>
      </c>
      <c r="B15" s="4" t="s">
        <v>563</v>
      </c>
      <c r="C15" s="4" t="s">
        <v>564</v>
      </c>
      <c r="D15" s="4" t="s">
        <v>610</v>
      </c>
      <c r="E15" s="12" t="s">
        <v>607</v>
      </c>
      <c r="F15" s="12" t="s">
        <v>605</v>
      </c>
      <c r="G15" s="12" t="s">
        <v>355</v>
      </c>
      <c r="H15" s="4" t="s">
        <v>612</v>
      </c>
    </row>
    <row r="16" ht="68" customHeight="1" spans="1:8" x14ac:dyDescent="0.25">
      <c r="A16" s="30" t="s">
        <v>547</v>
      </c>
      <c r="B16" s="26" t="s">
        <v>548</v>
      </c>
      <c r="C16" s="26" t="s">
        <v>549</v>
      </c>
      <c r="D16" s="26" t="s">
        <v>613</v>
      </c>
      <c r="E16" s="20" t="s">
        <v>607</v>
      </c>
      <c r="F16" s="20" t="s">
        <v>605</v>
      </c>
      <c r="G16" s="20" t="s">
        <v>581</v>
      </c>
      <c r="H16" s="26" t="s">
        <v>614</v>
      </c>
    </row>
    <row r="17" ht="116" customHeight="1" spans="1:8" x14ac:dyDescent="0.25">
      <c r="A17" s="31" t="s">
        <v>552</v>
      </c>
      <c r="B17" s="4" t="s">
        <v>553</v>
      </c>
      <c r="C17" s="4" t="s">
        <v>554</v>
      </c>
      <c r="D17" s="4" t="s">
        <v>615</v>
      </c>
      <c r="E17" s="12" t="s">
        <v>607</v>
      </c>
      <c r="F17" s="12" t="s">
        <v>605</v>
      </c>
      <c r="G17" s="12" t="s">
        <v>581</v>
      </c>
      <c r="H17" s="4" t="s">
        <v>616</v>
      </c>
    </row>
    <row r="18" ht="52" customHeight="1" spans="1:8" x14ac:dyDescent="0.25">
      <c r="A18" s="30" t="s">
        <v>567</v>
      </c>
      <c r="B18" s="26" t="s">
        <v>568</v>
      </c>
      <c r="C18" s="26" t="s">
        <v>569</v>
      </c>
      <c r="D18" s="26" t="s">
        <v>603</v>
      </c>
      <c r="E18" s="20" t="s">
        <v>607</v>
      </c>
      <c r="F18" s="20" t="s">
        <v>605</v>
      </c>
      <c r="G18" s="20" t="s">
        <v>581</v>
      </c>
      <c r="H18" s="26" t="s">
        <v>617</v>
      </c>
    </row>
    <row r="19" ht="84" customHeight="1" spans="1:8" x14ac:dyDescent="0.25">
      <c r="A19" s="31" t="s">
        <v>572</v>
      </c>
      <c r="B19" s="4" t="s">
        <v>573</v>
      </c>
      <c r="C19" s="4" t="s">
        <v>574</v>
      </c>
      <c r="D19" s="4" t="s">
        <v>608</v>
      </c>
      <c r="E19" s="12" t="s">
        <v>607</v>
      </c>
      <c r="F19" s="12" t="s">
        <v>605</v>
      </c>
      <c r="G19" s="12" t="s">
        <v>581</v>
      </c>
      <c r="H19" s="4" t="s">
        <v>618</v>
      </c>
    </row>
    <row r="20" ht="68" customHeight="1" spans="1:8" x14ac:dyDescent="0.25">
      <c r="A20" s="30" t="s">
        <v>577</v>
      </c>
      <c r="B20" s="26" t="s">
        <v>578</v>
      </c>
      <c r="C20" s="26" t="s">
        <v>579</v>
      </c>
      <c r="D20" s="26" t="s">
        <v>619</v>
      </c>
      <c r="E20" s="20" t="s">
        <v>607</v>
      </c>
      <c r="F20" s="20" t="s">
        <v>605</v>
      </c>
      <c r="G20" s="20" t="s">
        <v>581</v>
      </c>
      <c r="H20" s="26" t="s">
        <v>620</v>
      </c>
    </row>
  </sheetData>
  <pageMargins left="0.35" right="0.35" top="0.55" bottom="0.55" header="0.2" footer="0.2"/>
  <pageSetup orientation="landscape" horizontalDpi="4294967295" verticalDpi="4294967295" scale="100" fitToWidth="1" fitToHeight="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D20"/>
  <sheetViews>
    <sheetView workbookViewId="0" showGridLines="0"/>
  </sheetViews>
  <sheetFormatPr defaultRowHeight="20" outlineLevelRow="0" outlineLevelCol="0" x14ac:dyDescent="55" customHeight="1"/>
  <cols>
    <col min="1" max="1" width="56" customWidth="1"/>
    <col min="2" max="2" width="11" customWidth="1"/>
    <col min="3" max="3" width="10" customWidth="1"/>
    <col min="4" max="4" width="84" customWidth="1"/>
  </cols>
  <sheetData>
    <row r="1" ht="30" customHeight="1" spans="1:4" x14ac:dyDescent="0.25">
      <c r="A1" s="1" t="s">
        <v>621</v>
      </c>
      <c r="B1" s="2"/>
      <c r="C1" s="2"/>
      <c r="D1" s="2"/>
    </row>
    <row r="2" ht="7" customHeight="1" spans="1:4" x14ac:dyDescent="0.25">
      <c r="A2" t="s">
        <v>1</v>
      </c>
      <c r="B2" t="s">
        <v>1</v>
      </c>
      <c r="C2" t="s">
        <v>1</v>
      </c>
      <c r="D2" t="s">
        <v>1</v>
      </c>
    </row>
    <row r="3" ht="24" customHeight="1" spans="1:4" x14ac:dyDescent="0.25">
      <c r="A3" s="10" t="s">
        <v>487</v>
      </c>
      <c r="B3" s="11" t="s">
        <v>486</v>
      </c>
      <c r="C3" s="11" t="s">
        <v>488</v>
      </c>
      <c r="D3" s="10" t="s">
        <v>622</v>
      </c>
    </row>
    <row r="4" ht="20" customHeight="1" spans="1:4" x14ac:dyDescent="0.25">
      <c r="A4" s="26" t="s">
        <v>495</v>
      </c>
      <c r="B4" s="30" t="s">
        <v>494</v>
      </c>
      <c r="C4" s="8" t="s">
        <v>475</v>
      </c>
      <c r="D4" s="26" t="s">
        <v>498</v>
      </c>
    </row>
    <row r="5" ht="36" customHeight="1" spans="1:4" x14ac:dyDescent="0.25">
      <c r="A5" s="4" t="s">
        <v>503</v>
      </c>
      <c r="B5" s="31" t="s">
        <v>502</v>
      </c>
      <c r="C5" s="8" t="s">
        <v>475</v>
      </c>
      <c r="D5" s="4" t="s">
        <v>505</v>
      </c>
    </row>
    <row r="6" ht="36" customHeight="1" spans="1:4" x14ac:dyDescent="0.25">
      <c r="A6" s="26" t="s">
        <v>508</v>
      </c>
      <c r="B6" s="30" t="s">
        <v>507</v>
      </c>
      <c r="C6" s="8" t="s">
        <v>475</v>
      </c>
      <c r="D6" s="26" t="s">
        <v>510</v>
      </c>
    </row>
    <row r="7" ht="20" customHeight="1" spans="1:4" x14ac:dyDescent="0.25">
      <c r="A7" s="4" t="s">
        <v>513</v>
      </c>
      <c r="B7" s="31" t="s">
        <v>512</v>
      </c>
      <c r="C7" s="8" t="s">
        <v>475</v>
      </c>
      <c r="D7" s="4" t="s">
        <v>515</v>
      </c>
    </row>
    <row r="8" ht="20" customHeight="1" spans="1:4" x14ac:dyDescent="0.25">
      <c r="A8" s="26" t="s">
        <v>518</v>
      </c>
      <c r="B8" s="30" t="s">
        <v>517</v>
      </c>
      <c r="C8" s="8" t="s">
        <v>475</v>
      </c>
      <c r="D8" s="26" t="s">
        <v>520</v>
      </c>
    </row>
    <row r="9" ht="20" customHeight="1" spans="1:4" x14ac:dyDescent="0.25">
      <c r="A9" s="4" t="s">
        <v>523</v>
      </c>
      <c r="B9" s="31" t="s">
        <v>522</v>
      </c>
      <c r="C9" s="8" t="s">
        <v>475</v>
      </c>
      <c r="D9" s="4" t="s">
        <v>525</v>
      </c>
    </row>
    <row r="10" ht="36" customHeight="1" spans="1:4" x14ac:dyDescent="0.25">
      <c r="A10" s="26" t="s">
        <v>528</v>
      </c>
      <c r="B10" s="30" t="s">
        <v>527</v>
      </c>
      <c r="C10" s="8" t="s">
        <v>475</v>
      </c>
      <c r="D10" s="26" t="s">
        <v>530</v>
      </c>
    </row>
    <row r="11" ht="20" customHeight="1" spans="1:4" x14ac:dyDescent="0.25">
      <c r="A11" s="4" t="s">
        <v>533</v>
      </c>
      <c r="B11" s="31" t="s">
        <v>532</v>
      </c>
      <c r="C11" s="8" t="s">
        <v>475</v>
      </c>
      <c r="D11" s="4" t="s">
        <v>535</v>
      </c>
    </row>
    <row r="12" ht="20" customHeight="1" spans="1:4" x14ac:dyDescent="0.25">
      <c r="A12" s="26" t="s">
        <v>538</v>
      </c>
      <c r="B12" s="30" t="s">
        <v>537</v>
      </c>
      <c r="C12" s="8" t="s">
        <v>475</v>
      </c>
      <c r="D12" s="26" t="s">
        <v>540</v>
      </c>
    </row>
    <row r="13" ht="36" customHeight="1" spans="1:4" x14ac:dyDescent="0.25">
      <c r="A13" s="4" t="s">
        <v>543</v>
      </c>
      <c r="B13" s="31" t="s">
        <v>542</v>
      </c>
      <c r="C13" s="8" t="s">
        <v>475</v>
      </c>
      <c r="D13" s="4" t="s">
        <v>545</v>
      </c>
    </row>
    <row r="14" ht="52" customHeight="1" spans="1:4" x14ac:dyDescent="0.25">
      <c r="A14" s="26" t="s">
        <v>558</v>
      </c>
      <c r="B14" s="30" t="s">
        <v>557</v>
      </c>
      <c r="C14" s="8" t="s">
        <v>475</v>
      </c>
      <c r="D14" s="26" t="s">
        <v>560</v>
      </c>
    </row>
    <row r="15" ht="52" customHeight="1" spans="1:4" x14ac:dyDescent="0.25">
      <c r="A15" s="4" t="s">
        <v>563</v>
      </c>
      <c r="B15" s="31" t="s">
        <v>562</v>
      </c>
      <c r="C15" s="8" t="s">
        <v>475</v>
      </c>
      <c r="D15" s="4" t="s">
        <v>565</v>
      </c>
    </row>
    <row r="16" ht="84" customHeight="1" spans="1:4" x14ac:dyDescent="0.25">
      <c r="A16" s="26" t="s">
        <v>548</v>
      </c>
      <c r="B16" s="30" t="s">
        <v>547</v>
      </c>
      <c r="C16" s="8" t="s">
        <v>475</v>
      </c>
      <c r="D16" s="26" t="s">
        <v>550</v>
      </c>
    </row>
    <row r="17" ht="52" customHeight="1" spans="1:4" x14ac:dyDescent="0.25">
      <c r="A17" s="4" t="s">
        <v>553</v>
      </c>
      <c r="B17" s="31" t="s">
        <v>552</v>
      </c>
      <c r="C17" s="8" t="s">
        <v>475</v>
      </c>
      <c r="D17" s="4" t="s">
        <v>555</v>
      </c>
    </row>
    <row r="18" ht="36" customHeight="1" spans="1:4" x14ac:dyDescent="0.25">
      <c r="A18" s="26" t="s">
        <v>568</v>
      </c>
      <c r="B18" s="30" t="s">
        <v>567</v>
      </c>
      <c r="C18" s="8" t="s">
        <v>475</v>
      </c>
      <c r="D18" s="26" t="s">
        <v>570</v>
      </c>
    </row>
    <row r="19" ht="36" customHeight="1" spans="1:4" x14ac:dyDescent="0.25">
      <c r="A19" s="4" t="s">
        <v>573</v>
      </c>
      <c r="B19" s="31" t="s">
        <v>572</v>
      </c>
      <c r="C19" s="8" t="s">
        <v>475</v>
      </c>
      <c r="D19" s="4" t="s">
        <v>575</v>
      </c>
    </row>
    <row r="20" ht="52" customHeight="1" spans="1:4" x14ac:dyDescent="0.25">
      <c r="A20" s="26" t="s">
        <v>578</v>
      </c>
      <c r="B20" s="30" t="s">
        <v>577</v>
      </c>
      <c r="C20" s="8" t="s">
        <v>475</v>
      </c>
      <c r="D20" s="26" t="s">
        <v>580</v>
      </c>
    </row>
  </sheetData>
  <pageMargins left="0.35" right="0.35" top="0.55" bottom="0.55" header="0.2" footer="0.2"/>
  <pageSetup orientation="landscape" horizontalDpi="4294967295" verticalDpi="4294967295" scale="100" fitToWidth="1" fitToHeight="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L20"/>
  <sheetViews>
    <sheetView workbookViewId="0" showGridLines="0"/>
  </sheetViews>
  <sheetFormatPr defaultRowHeight="20" outlineLevelRow="0" outlineLevelCol="0" x14ac:dyDescent="55" customHeight="1"/>
  <cols>
    <col min="1" max="1" width="56" customWidth="1"/>
    <col min="2" max="2" width="11" customWidth="1"/>
    <col min="3" max="3" width="10" customWidth="1"/>
    <col min="4" max="4" width="72" customWidth="1"/>
    <col min="5" max="5" width="18" customWidth="1"/>
    <col min="6" max="6" width="14" customWidth="1"/>
    <col min="7" max="7" width="27" customWidth="1"/>
    <col min="8" max="8" width="14" customWidth="1"/>
    <col min="9" max="9" width="18" customWidth="1"/>
    <col min="10" max="10" width="20" customWidth="1"/>
    <col min="11" max="11" width="37" customWidth="1"/>
    <col min="12" max="12" width="14" customWidth="1"/>
  </cols>
  <sheetData>
    <row r="1" ht="30" customHeight="1" spans="1:12" x14ac:dyDescent="0.25">
      <c r="A1" s="1" t="s">
        <v>623</v>
      </c>
      <c r="B1" s="2"/>
      <c r="C1" s="2"/>
      <c r="D1" s="2"/>
      <c r="E1" s="2"/>
      <c r="F1" s="2"/>
      <c r="G1" s="2"/>
      <c r="H1" s="2"/>
      <c r="I1" s="2"/>
      <c r="J1" s="2"/>
      <c r="K1" s="2"/>
      <c r="L1" s="2"/>
    </row>
    <row r="2" ht="7" customHeight="1" spans="1:12" x14ac:dyDescent="0.25">
      <c r="A2" t="s">
        <v>1</v>
      </c>
      <c r="B2" t="s">
        <v>1</v>
      </c>
      <c r="C2" t="s">
        <v>1</v>
      </c>
      <c r="D2" t="s">
        <v>1</v>
      </c>
      <c r="E2" t="s">
        <v>1</v>
      </c>
      <c r="F2" t="s">
        <v>1</v>
      </c>
      <c r="G2" t="s">
        <v>1</v>
      </c>
      <c r="H2" t="s">
        <v>1</v>
      </c>
      <c r="I2" t="s">
        <v>1</v>
      </c>
      <c r="J2" t="s">
        <v>1</v>
      </c>
      <c r="K2" t="s">
        <v>1</v>
      </c>
      <c r="L2" t="s">
        <v>1</v>
      </c>
    </row>
    <row r="3" ht="24" customHeight="1" spans="1:12" x14ac:dyDescent="0.25">
      <c r="A3" s="10" t="s">
        <v>487</v>
      </c>
      <c r="B3" s="11" t="s">
        <v>486</v>
      </c>
      <c r="C3" s="11" t="s">
        <v>488</v>
      </c>
      <c r="D3" s="10" t="s">
        <v>584</v>
      </c>
      <c r="E3" s="10" t="s">
        <v>624</v>
      </c>
      <c r="F3" s="17" t="s">
        <v>625</v>
      </c>
      <c r="G3" s="10" t="s">
        <v>626</v>
      </c>
      <c r="H3" s="17" t="s">
        <v>627</v>
      </c>
      <c r="I3" s="10" t="s">
        <v>628</v>
      </c>
      <c r="J3" s="17" t="s">
        <v>629</v>
      </c>
      <c r="K3" s="10" t="s">
        <v>630</v>
      </c>
      <c r="L3" s="17" t="s">
        <v>631</v>
      </c>
    </row>
    <row r="4" ht="20" customHeight="1" spans="1:12" x14ac:dyDescent="0.25">
      <c r="A4" s="26" t="s">
        <v>495</v>
      </c>
      <c r="B4" s="30" t="s">
        <v>494</v>
      </c>
      <c r="C4" s="8" t="s">
        <v>475</v>
      </c>
      <c r="D4" s="26" t="s">
        <v>498</v>
      </c>
      <c r="E4" s="20" t="s">
        <v>632</v>
      </c>
      <c r="F4" s="27" t="s">
        <v>633</v>
      </c>
      <c r="G4" s="26" t="s">
        <v>634</v>
      </c>
      <c r="H4" s="27" t="s">
        <v>633</v>
      </c>
      <c r="I4" s="20" t="s">
        <v>635</v>
      </c>
      <c r="J4" s="27" t="s">
        <v>636</v>
      </c>
      <c r="K4" s="26" t="s">
        <v>1</v>
      </c>
      <c r="L4" s="27" t="s">
        <v>1</v>
      </c>
    </row>
    <row r="5" ht="36" customHeight="1" spans="1:12" x14ac:dyDescent="0.25">
      <c r="A5" s="4" t="s">
        <v>503</v>
      </c>
      <c r="B5" s="31" t="s">
        <v>502</v>
      </c>
      <c r="C5" s="8" t="s">
        <v>475</v>
      </c>
      <c r="D5" s="4" t="s">
        <v>505</v>
      </c>
      <c r="E5" s="12" t="s">
        <v>101</v>
      </c>
      <c r="F5" s="18" t="s">
        <v>637</v>
      </c>
      <c r="G5" s="4" t="s">
        <v>638</v>
      </c>
      <c r="H5" s="18" t="s">
        <v>637</v>
      </c>
      <c r="I5" s="12" t="s">
        <v>635</v>
      </c>
      <c r="J5" s="18" t="s">
        <v>636</v>
      </c>
      <c r="K5" s="4" t="s">
        <v>1</v>
      </c>
      <c r="L5" s="18" t="s">
        <v>1</v>
      </c>
    </row>
    <row r="6" ht="36" customHeight="1" spans="1:12" x14ac:dyDescent="0.25">
      <c r="A6" s="26" t="s">
        <v>508</v>
      </c>
      <c r="B6" s="30" t="s">
        <v>507</v>
      </c>
      <c r="C6" s="8" t="s">
        <v>475</v>
      </c>
      <c r="D6" s="26" t="s">
        <v>510</v>
      </c>
      <c r="E6" s="20" t="s">
        <v>101</v>
      </c>
      <c r="F6" s="27" t="s">
        <v>639</v>
      </c>
      <c r="G6" s="26" t="s">
        <v>640</v>
      </c>
      <c r="H6" s="27" t="s">
        <v>639</v>
      </c>
      <c r="I6" s="20" t="s">
        <v>635</v>
      </c>
      <c r="J6" s="27" t="s">
        <v>636</v>
      </c>
      <c r="K6" s="26" t="s">
        <v>1</v>
      </c>
      <c r="L6" s="27" t="s">
        <v>1</v>
      </c>
    </row>
    <row r="7" ht="20" customHeight="1" spans="1:12" x14ac:dyDescent="0.25">
      <c r="A7" s="4" t="s">
        <v>513</v>
      </c>
      <c r="B7" s="31" t="s">
        <v>512</v>
      </c>
      <c r="C7" s="8" t="s">
        <v>475</v>
      </c>
      <c r="D7" s="4" t="s">
        <v>515</v>
      </c>
      <c r="E7" s="12" t="s">
        <v>641</v>
      </c>
      <c r="F7" s="18" t="s">
        <v>642</v>
      </c>
      <c r="G7" s="4" t="s">
        <v>424</v>
      </c>
      <c r="H7" s="18" t="s">
        <v>642</v>
      </c>
      <c r="I7" s="12" t="s">
        <v>635</v>
      </c>
      <c r="J7" s="18" t="s">
        <v>636</v>
      </c>
      <c r="K7" s="4" t="s">
        <v>1</v>
      </c>
      <c r="L7" s="18" t="s">
        <v>1</v>
      </c>
    </row>
    <row r="8" ht="20" customHeight="1" spans="1:12" x14ac:dyDescent="0.25">
      <c r="A8" s="26" t="s">
        <v>518</v>
      </c>
      <c r="B8" s="30" t="s">
        <v>517</v>
      </c>
      <c r="C8" s="8" t="s">
        <v>475</v>
      </c>
      <c r="D8" s="26" t="s">
        <v>520</v>
      </c>
      <c r="E8" s="20" t="s">
        <v>641</v>
      </c>
      <c r="F8" s="27" t="s">
        <v>643</v>
      </c>
      <c r="G8" s="26" t="s">
        <v>424</v>
      </c>
      <c r="H8" s="27" t="s">
        <v>643</v>
      </c>
      <c r="I8" s="20" t="s">
        <v>635</v>
      </c>
      <c r="J8" s="27" t="s">
        <v>636</v>
      </c>
      <c r="K8" s="26" t="s">
        <v>1</v>
      </c>
      <c r="L8" s="27" t="s">
        <v>1</v>
      </c>
    </row>
    <row r="9" ht="20" customHeight="1" spans="1:12" x14ac:dyDescent="0.25">
      <c r="A9" s="4" t="s">
        <v>523</v>
      </c>
      <c r="B9" s="31" t="s">
        <v>522</v>
      </c>
      <c r="C9" s="8" t="s">
        <v>475</v>
      </c>
      <c r="D9" s="4" t="s">
        <v>525</v>
      </c>
      <c r="E9" s="12" t="s">
        <v>635</v>
      </c>
      <c r="F9" s="18" t="s">
        <v>636</v>
      </c>
      <c r="G9" s="4" t="s">
        <v>1</v>
      </c>
      <c r="H9" s="18" t="s">
        <v>1</v>
      </c>
      <c r="I9" s="12" t="s">
        <v>1</v>
      </c>
      <c r="J9" s="18" t="s">
        <v>1</v>
      </c>
      <c r="K9" s="4" t="s">
        <v>1</v>
      </c>
      <c r="L9" s="18" t="s">
        <v>1</v>
      </c>
    </row>
    <row r="10" ht="36" customHeight="1" spans="1:12" x14ac:dyDescent="0.25">
      <c r="A10" s="26" t="s">
        <v>528</v>
      </c>
      <c r="B10" s="30" t="s">
        <v>527</v>
      </c>
      <c r="C10" s="8" t="s">
        <v>475</v>
      </c>
      <c r="D10" s="26" t="s">
        <v>530</v>
      </c>
      <c r="E10" s="20" t="s">
        <v>101</v>
      </c>
      <c r="F10" s="27" t="s">
        <v>637</v>
      </c>
      <c r="G10" s="26" t="s">
        <v>644</v>
      </c>
      <c r="H10" s="27" t="s">
        <v>637</v>
      </c>
      <c r="I10" s="20" t="s">
        <v>635</v>
      </c>
      <c r="J10" s="27" t="s">
        <v>636</v>
      </c>
      <c r="K10" s="26" t="s">
        <v>645</v>
      </c>
      <c r="L10" s="27" t="s">
        <v>646</v>
      </c>
    </row>
    <row r="11" ht="20" customHeight="1" spans="1:12" x14ac:dyDescent="0.25">
      <c r="A11" s="4" t="s">
        <v>533</v>
      </c>
      <c r="B11" s="31" t="s">
        <v>532</v>
      </c>
      <c r="C11" s="8" t="s">
        <v>475</v>
      </c>
      <c r="D11" s="4" t="s">
        <v>535</v>
      </c>
      <c r="E11" s="12" t="s">
        <v>647</v>
      </c>
      <c r="F11" s="18" t="s">
        <v>636</v>
      </c>
      <c r="G11" s="4" t="s">
        <v>648</v>
      </c>
      <c r="H11" s="18" t="s">
        <v>649</v>
      </c>
      <c r="I11" s="12" t="s">
        <v>1</v>
      </c>
      <c r="J11" s="18" t="s">
        <v>1</v>
      </c>
      <c r="K11" s="4" t="s">
        <v>1</v>
      </c>
      <c r="L11" s="18" t="s">
        <v>1</v>
      </c>
    </row>
    <row r="12" ht="20" customHeight="1" spans="1:12" x14ac:dyDescent="0.25">
      <c r="A12" s="26" t="s">
        <v>538</v>
      </c>
      <c r="B12" s="30" t="s">
        <v>537</v>
      </c>
      <c r="C12" s="8" t="s">
        <v>475</v>
      </c>
      <c r="D12" s="26" t="s">
        <v>540</v>
      </c>
      <c r="E12" s="20" t="s">
        <v>647</v>
      </c>
      <c r="F12" s="27" t="s">
        <v>636</v>
      </c>
      <c r="G12" s="26" t="s">
        <v>648</v>
      </c>
      <c r="H12" s="27" t="s">
        <v>650</v>
      </c>
      <c r="I12" s="20" t="s">
        <v>651</v>
      </c>
      <c r="J12" s="27" t="s">
        <v>652</v>
      </c>
      <c r="K12" s="26" t="s">
        <v>1</v>
      </c>
      <c r="L12" s="27" t="s">
        <v>1</v>
      </c>
    </row>
    <row r="13" ht="36" customHeight="1" spans="1:12" x14ac:dyDescent="0.25">
      <c r="A13" s="4" t="s">
        <v>543</v>
      </c>
      <c r="B13" s="31" t="s">
        <v>542</v>
      </c>
      <c r="C13" s="8" t="s">
        <v>475</v>
      </c>
      <c r="D13" s="4" t="s">
        <v>545</v>
      </c>
      <c r="E13" s="12" t="s">
        <v>653</v>
      </c>
      <c r="F13" s="18" t="s">
        <v>654</v>
      </c>
      <c r="G13" s="4" t="s">
        <v>647</v>
      </c>
      <c r="H13" s="18" t="s">
        <v>636</v>
      </c>
      <c r="I13" s="12" t="s">
        <v>648</v>
      </c>
      <c r="J13" s="18" t="s">
        <v>650</v>
      </c>
      <c r="K13" s="4" t="s">
        <v>655</v>
      </c>
      <c r="L13" s="18" t="s">
        <v>636</v>
      </c>
    </row>
    <row r="14" ht="52" customHeight="1" spans="1:12" x14ac:dyDescent="0.25">
      <c r="A14" s="26" t="s">
        <v>558</v>
      </c>
      <c r="B14" s="30" t="s">
        <v>557</v>
      </c>
      <c r="C14" s="8" t="s">
        <v>475</v>
      </c>
      <c r="D14" s="26" t="s">
        <v>560</v>
      </c>
      <c r="E14" s="20" t="s">
        <v>656</v>
      </c>
      <c r="F14" s="27" t="s">
        <v>649</v>
      </c>
      <c r="G14" s="26" t="s">
        <v>657</v>
      </c>
      <c r="H14" s="27" t="s">
        <v>649</v>
      </c>
      <c r="I14" s="20" t="s">
        <v>658</v>
      </c>
      <c r="J14" s="27" t="s">
        <v>636</v>
      </c>
      <c r="K14" s="26" t="s">
        <v>659</v>
      </c>
      <c r="L14" s="27" t="s">
        <v>636</v>
      </c>
    </row>
    <row r="15" ht="52" customHeight="1" spans="1:12" x14ac:dyDescent="0.25">
      <c r="A15" s="4" t="s">
        <v>563</v>
      </c>
      <c r="B15" s="31" t="s">
        <v>562</v>
      </c>
      <c r="C15" s="8" t="s">
        <v>475</v>
      </c>
      <c r="D15" s="4" t="s">
        <v>565</v>
      </c>
      <c r="E15" s="12" t="s">
        <v>656</v>
      </c>
      <c r="F15" s="18" t="s">
        <v>649</v>
      </c>
      <c r="G15" s="4" t="s">
        <v>657</v>
      </c>
      <c r="H15" s="18" t="s">
        <v>649</v>
      </c>
      <c r="I15" s="12" t="s">
        <v>658</v>
      </c>
      <c r="J15" s="18" t="s">
        <v>636</v>
      </c>
      <c r="K15" s="4" t="s">
        <v>659</v>
      </c>
      <c r="L15" s="18" t="s">
        <v>636</v>
      </c>
    </row>
    <row r="16" ht="100" customHeight="1" spans="1:12" x14ac:dyDescent="0.25">
      <c r="A16" s="26" t="s">
        <v>548</v>
      </c>
      <c r="B16" s="30" t="s">
        <v>547</v>
      </c>
      <c r="C16" s="8" t="s">
        <v>475</v>
      </c>
      <c r="D16" s="26" t="s">
        <v>550</v>
      </c>
      <c r="E16" s="20" t="s">
        <v>660</v>
      </c>
      <c r="F16" s="27" t="s">
        <v>649</v>
      </c>
      <c r="G16" s="26" t="s">
        <v>661</v>
      </c>
      <c r="H16" s="27" t="s">
        <v>649</v>
      </c>
      <c r="I16" s="20" t="s">
        <v>662</v>
      </c>
      <c r="J16" s="27" t="s">
        <v>663</v>
      </c>
      <c r="K16" s="26" t="s">
        <v>664</v>
      </c>
      <c r="L16" s="27" t="s">
        <v>636</v>
      </c>
    </row>
    <row r="17" ht="52" customHeight="1" spans="1:12" x14ac:dyDescent="0.25">
      <c r="A17" s="4" t="s">
        <v>553</v>
      </c>
      <c r="B17" s="31" t="s">
        <v>552</v>
      </c>
      <c r="C17" s="8" t="s">
        <v>475</v>
      </c>
      <c r="D17" s="4" t="s">
        <v>555</v>
      </c>
      <c r="E17" s="12" t="s">
        <v>665</v>
      </c>
      <c r="F17" s="18" t="s">
        <v>636</v>
      </c>
      <c r="G17" s="4" t="s">
        <v>666</v>
      </c>
      <c r="H17" s="18" t="s">
        <v>636</v>
      </c>
      <c r="I17" s="12" t="s">
        <v>667</v>
      </c>
      <c r="J17" s="18" t="s">
        <v>636</v>
      </c>
      <c r="K17" s="4" t="s">
        <v>668</v>
      </c>
      <c r="L17" s="18" t="s">
        <v>636</v>
      </c>
    </row>
    <row r="18" ht="36" customHeight="1" spans="1:12" x14ac:dyDescent="0.25">
      <c r="A18" s="26" t="s">
        <v>568</v>
      </c>
      <c r="B18" s="30" t="s">
        <v>567</v>
      </c>
      <c r="C18" s="8" t="s">
        <v>475</v>
      </c>
      <c r="D18" s="26" t="s">
        <v>570</v>
      </c>
      <c r="E18" s="20" t="s">
        <v>669</v>
      </c>
      <c r="F18" s="27" t="s">
        <v>670</v>
      </c>
      <c r="G18" s="26" t="s">
        <v>671</v>
      </c>
      <c r="H18" s="27" t="s">
        <v>636</v>
      </c>
      <c r="I18" s="20" t="s">
        <v>672</v>
      </c>
      <c r="J18" s="27" t="s">
        <v>636</v>
      </c>
      <c r="K18" s="26" t="s">
        <v>673</v>
      </c>
      <c r="L18" s="27" t="s">
        <v>636</v>
      </c>
    </row>
    <row r="19" ht="36" customHeight="1" spans="1:12" x14ac:dyDescent="0.25">
      <c r="A19" s="4" t="s">
        <v>573</v>
      </c>
      <c r="B19" s="31" t="s">
        <v>572</v>
      </c>
      <c r="C19" s="8" t="s">
        <v>475</v>
      </c>
      <c r="D19" s="4" t="s">
        <v>575</v>
      </c>
      <c r="E19" s="12" t="s">
        <v>674</v>
      </c>
      <c r="F19" s="18" t="s">
        <v>675</v>
      </c>
      <c r="G19" s="4" t="s">
        <v>676</v>
      </c>
      <c r="H19" s="18" t="s">
        <v>636</v>
      </c>
      <c r="I19" s="12" t="s">
        <v>648</v>
      </c>
      <c r="J19" s="18" t="s">
        <v>677</v>
      </c>
      <c r="K19" s="4" t="s">
        <v>678</v>
      </c>
      <c r="L19" s="18" t="s">
        <v>679</v>
      </c>
    </row>
    <row r="20" ht="52" customHeight="1" spans="1:12" x14ac:dyDescent="0.25">
      <c r="A20" s="26" t="s">
        <v>578</v>
      </c>
      <c r="B20" s="30" t="s">
        <v>577</v>
      </c>
      <c r="C20" s="8" t="s">
        <v>475</v>
      </c>
      <c r="D20" s="26" t="s">
        <v>580</v>
      </c>
      <c r="E20" s="20" t="s">
        <v>680</v>
      </c>
      <c r="F20" s="27" t="s">
        <v>681</v>
      </c>
      <c r="G20" s="26" t="s">
        <v>682</v>
      </c>
      <c r="H20" s="27" t="s">
        <v>636</v>
      </c>
      <c r="I20" s="20" t="s">
        <v>683</v>
      </c>
      <c r="J20" s="27" t="s">
        <v>636</v>
      </c>
      <c r="K20" s="26" t="s">
        <v>684</v>
      </c>
      <c r="L20" s="27" t="s">
        <v>636</v>
      </c>
    </row>
  </sheetData>
  <pageMargins left="0.35" right="0.35" top="0.55" bottom="0.55" header="0.2" footer="0.2"/>
  <pageSetup orientation="landscape" horizontalDpi="4294967295" verticalDpi="4294967295" scale="100" fitToWidth="1" fitToHeight="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pageSetUpPr fitToPage="1"/>
  </sheetPr>
  <dimension ref="A1:B43"/>
  <sheetViews>
    <sheetView workbookViewId="0" showGridLines="0"/>
  </sheetViews>
  <sheetFormatPr defaultRowHeight="20" outlineLevelRow="0" outlineLevelCol="0" x14ac:dyDescent="55" customHeight="1"/>
  <cols>
    <col min="1" max="1" width="44" customWidth="1"/>
    <col min="2" max="2" width="96" customWidth="1"/>
  </cols>
  <sheetData>
    <row r="1" ht="30" customHeight="1" spans="1:2" x14ac:dyDescent="0.25">
      <c r="A1" s="1" t="s">
        <v>685</v>
      </c>
      <c r="B1" s="2"/>
    </row>
    <row r="2" ht="7" customHeight="1" spans="1:2" x14ac:dyDescent="0.25">
      <c r="A2" t="s">
        <v>1</v>
      </c>
      <c r="B2" t="s">
        <v>1</v>
      </c>
    </row>
    <row r="3" ht="20" customHeight="1" spans="1:2" x14ac:dyDescent="0.25">
      <c r="A3" s="3" t="s">
        <v>686</v>
      </c>
      <c r="B3" s="4" t="s">
        <v>687</v>
      </c>
    </row>
    <row r="4" ht="20" customHeight="1" spans="1:2" x14ac:dyDescent="0.25">
      <c r="A4" s="3" t="s">
        <v>130</v>
      </c>
      <c r="B4" s="4" t="s">
        <v>16</v>
      </c>
    </row>
    <row r="5" ht="20" customHeight="1" spans="1:2" x14ac:dyDescent="0.25">
      <c r="A5" s="3" t="s">
        <v>5</v>
      </c>
      <c r="B5" s="4" t="s">
        <v>6</v>
      </c>
    </row>
    <row r="6" ht="20" customHeight="1" spans="1:2" x14ac:dyDescent="0.25">
      <c r="A6" s="3" t="s">
        <v>7</v>
      </c>
      <c r="B6" s="4" t="s">
        <v>8</v>
      </c>
    </row>
    <row r="7" ht="20" customHeight="1" spans="1:2" x14ac:dyDescent="0.25">
      <c r="A7" s="3" t="s">
        <v>688</v>
      </c>
      <c r="B7" s="4" t="s">
        <v>689</v>
      </c>
    </row>
    <row r="8" ht="20" customHeight="1" spans="1:2" x14ac:dyDescent="0.25">
      <c r="A8" s="3" t="s">
        <v>690</v>
      </c>
      <c r="B8" s="4" t="s">
        <v>691</v>
      </c>
    </row>
    <row r="9" ht="20" customHeight="1" spans="1:2" x14ac:dyDescent="0.25">
      <c r="A9" s="3" t="s">
        <v>692</v>
      </c>
      <c r="B9" s="15">
        <v>252598</v>
      </c>
    </row>
    <row r="10" ht="20" customHeight="1" spans="1:2" x14ac:dyDescent="0.25">
      <c r="A10" s="3" t="s">
        <v>693</v>
      </c>
      <c r="B10" s="4" t="s">
        <v>694</v>
      </c>
    </row>
    <row r="11" ht="20" customHeight="1" spans="1:2" x14ac:dyDescent="0.25">
      <c r="A11" s="3" t="s">
        <v>695</v>
      </c>
      <c r="B11" s="7" t="s">
        <v>696</v>
      </c>
    </row>
    <row r="12" ht="20" customHeight="1" spans="1:2" x14ac:dyDescent="0.25">
      <c r="A12" s="3" t="s">
        <v>483</v>
      </c>
      <c r="B12" s="4" t="s">
        <v>484</v>
      </c>
    </row>
    <row r="13" ht="20" customHeight="1" spans="1:2" x14ac:dyDescent="0.25">
      <c r="A13" s="3" t="s">
        <v>697</v>
      </c>
      <c r="B13" s="4" t="s">
        <v>698</v>
      </c>
    </row>
    <row r="14" ht="20" customHeight="1" spans="1:2" x14ac:dyDescent="0.25">
      <c r="A14" s="3" t="s">
        <v>699</v>
      </c>
      <c r="B14" s="4" t="s">
        <v>700</v>
      </c>
    </row>
    <row r="15" ht="20" customHeight="1" spans="1:2" x14ac:dyDescent="0.25">
      <c r="A15" s="3" t="s">
        <v>701</v>
      </c>
      <c r="B15" s="4" t="s">
        <v>702</v>
      </c>
    </row>
    <row r="16" ht="20" customHeight="1" spans="1:2" x14ac:dyDescent="0.25">
      <c r="A16" s="3" t="s">
        <v>703</v>
      </c>
      <c r="B16" s="4" t="s">
        <v>704</v>
      </c>
    </row>
    <row r="17" ht="20" customHeight="1" spans="1:2" x14ac:dyDescent="0.25">
      <c r="A17" s="3" t="s">
        <v>705</v>
      </c>
      <c r="B17" s="4" t="s">
        <v>706</v>
      </c>
    </row>
    <row r="18" ht="20" customHeight="1" spans="1:2" x14ac:dyDescent="0.25">
      <c r="A18" s="3" t="s">
        <v>13</v>
      </c>
      <c r="B18" s="8" t="s">
        <v>14</v>
      </c>
    </row>
    <row r="19" ht="20" customHeight="1" spans="1:2" x14ac:dyDescent="0.25">
      <c r="A19" s="3" t="s">
        <v>11</v>
      </c>
      <c r="B19" s="7" t="s">
        <v>12</v>
      </c>
    </row>
    <row r="20" ht="20" customHeight="1" spans="1:2" x14ac:dyDescent="0.25">
      <c r="A20" s="3" t="s">
        <v>707</v>
      </c>
      <c r="B20" s="15">
        <v>61</v>
      </c>
    </row>
    <row r="21" ht="20" customHeight="1" spans="1:2" x14ac:dyDescent="0.25">
      <c r="A21" s="3" t="s">
        <v>708</v>
      </c>
      <c r="B21" s="15">
        <v>61</v>
      </c>
    </row>
    <row r="22" ht="20" customHeight="1" spans="1:2" x14ac:dyDescent="0.25">
      <c r="A22" s="3" t="s">
        <v>709</v>
      </c>
      <c r="B22" s="15">
        <v>122</v>
      </c>
    </row>
    <row r="23" ht="20" customHeight="1" spans="1:2" x14ac:dyDescent="0.25">
      <c r="A23" s="3" t="s">
        <v>710</v>
      </c>
      <c r="B23" s="15">
        <v>3</v>
      </c>
    </row>
    <row r="24" ht="20" customHeight="1" spans="1:2" x14ac:dyDescent="0.25">
      <c r="A24" s="3" t="s">
        <v>711</v>
      </c>
      <c r="B24" s="15">
        <v>4</v>
      </c>
    </row>
    <row r="25" ht="20" customHeight="1" spans="1:2" x14ac:dyDescent="0.25">
      <c r="A25" s="3" t="s">
        <v>712</v>
      </c>
      <c r="B25" s="15">
        <v>3</v>
      </c>
    </row>
    <row r="26" ht="52" customHeight="1" spans="1:2" x14ac:dyDescent="0.25">
      <c r="A26" s="3" t="s">
        <v>713</v>
      </c>
      <c r="B26" s="4" t="s">
        <v>714</v>
      </c>
    </row>
    <row r="27" ht="52" customHeight="1" spans="1:2" x14ac:dyDescent="0.25">
      <c r="A27" s="3" t="s">
        <v>715</v>
      </c>
      <c r="B27" s="4" t="s">
        <v>716</v>
      </c>
    </row>
    <row r="28" ht="7" customHeight="1" spans="1:2" x14ac:dyDescent="0.25">
      <c r="A28" t="s">
        <v>1</v>
      </c>
      <c r="B28" t="s">
        <v>1</v>
      </c>
    </row>
    <row r="29" ht="20" customHeight="1" spans="1:2" x14ac:dyDescent="0.25">
      <c r="A29" s="3" t="s">
        <v>717</v>
      </c>
      <c r="B29" s="15">
        <v>0</v>
      </c>
    </row>
    <row r="30" ht="20" customHeight="1" spans="1:2" x14ac:dyDescent="0.25">
      <c r="A30" s="3" t="s">
        <v>718</v>
      </c>
      <c r="B30" s="15">
        <v>0</v>
      </c>
    </row>
    <row r="31" ht="20" customHeight="1" spans="1:2" x14ac:dyDescent="0.25">
      <c r="A31" s="3" t="s">
        <v>719</v>
      </c>
      <c r="B31" s="15">
        <v>0</v>
      </c>
    </row>
    <row r="32" ht="20" customHeight="1" spans="1:2" x14ac:dyDescent="0.25">
      <c r="A32" s="3" t="s">
        <v>720</v>
      </c>
      <c r="B32" s="15">
        <v>0</v>
      </c>
    </row>
    <row r="33" ht="20" customHeight="1" spans="1:2" x14ac:dyDescent="0.25">
      <c r="A33" s="3" t="s">
        <v>721</v>
      </c>
      <c r="B33" s="15">
        <v>0</v>
      </c>
    </row>
    <row r="34" ht="7" customHeight="1" spans="1:2" x14ac:dyDescent="0.25">
      <c r="A34" t="s">
        <v>1</v>
      </c>
      <c r="B34" t="s">
        <v>1</v>
      </c>
    </row>
    <row r="35" ht="20" customHeight="1" spans="1:2" x14ac:dyDescent="0.25">
      <c r="A35" s="3" t="s">
        <v>722</v>
      </c>
      <c r="B35" s="15">
        <v>0</v>
      </c>
    </row>
    <row r="36" ht="20" customHeight="1" spans="1:2" x14ac:dyDescent="0.25">
      <c r="A36" s="3" t="s">
        <v>723</v>
      </c>
      <c r="B36" s="15">
        <v>0</v>
      </c>
    </row>
    <row r="37" ht="20" customHeight="1" spans="1:2" x14ac:dyDescent="0.25">
      <c r="A37" s="3" t="s">
        <v>724</v>
      </c>
      <c r="B37" s="15">
        <v>0</v>
      </c>
    </row>
    <row r="38" ht="20" customHeight="1" spans="1:2" x14ac:dyDescent="0.25">
      <c r="A38" s="3" t="s">
        <v>725</v>
      </c>
      <c r="B38" s="15">
        <v>0</v>
      </c>
    </row>
    <row r="39" ht="20" customHeight="1" spans="1:2" x14ac:dyDescent="0.25">
      <c r="A39" s="6" t="s">
        <v>726</v>
      </c>
      <c r="B39" s="6"/>
    </row>
    <row r="40" ht="20" customHeight="1" spans="1:2" x14ac:dyDescent="0.25">
      <c r="A40" s="3" t="s">
        <v>727</v>
      </c>
      <c r="B40" s="4" t="s">
        <v>728</v>
      </c>
    </row>
    <row r="41" ht="20" customHeight="1" spans="1:2" x14ac:dyDescent="0.25">
      <c r="A41" s="3" t="s">
        <v>729</v>
      </c>
      <c r="B41" s="4" t="s">
        <v>730</v>
      </c>
    </row>
    <row r="42" ht="20" customHeight="1" spans="1:2" x14ac:dyDescent="0.25">
      <c r="A42" s="3" t="s">
        <v>731</v>
      </c>
      <c r="B42" s="4" t="s">
        <v>63</v>
      </c>
    </row>
    <row r="43" ht="20" customHeight="1" spans="1:2" x14ac:dyDescent="0.25">
      <c r="A43" s="3" t="s">
        <v>732</v>
      </c>
      <c r="B43" s="4" t="s">
        <v>733</v>
      </c>
    </row>
  </sheetData>
  <mergeCells count="1">
    <mergeCell ref="A39:B39"/>
  </mergeCells>
  <pageMargins left="0.35" right="0.35" top="0.55" bottom="0.55" header="0.2" footer="0.2"/>
  <pageSetup orientation="landscape" horizontalDpi="4294967295" verticalDpi="4294967295" scale="100" fitToWidth="1" fitToHeight="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pageSetUpPr fitToPage="1"/>
  </sheetPr>
  <dimension ref="A1:H3"/>
  <sheetViews>
    <sheetView workbookViewId="0" showGridLines="0"/>
  </sheetViews>
  <sheetFormatPr defaultRowHeight="20" outlineLevelRow="0" outlineLevelCol="0" x14ac:dyDescent="55" customHeight="1"/>
  <cols>
    <col min="1" max="1" width="12" customWidth="1"/>
    <col min="2" max="2" width="6" customWidth="1"/>
    <col min="3" max="3" width="15" customWidth="1"/>
    <col min="4" max="4" width="12" customWidth="1"/>
    <col min="5" max="5" width="31" customWidth="1"/>
    <col min="6" max="6" width="28" customWidth="1"/>
    <col min="7" max="7" width="55" customWidth="1"/>
    <col min="8" max="8" width="22" customWidth="1"/>
  </cols>
  <sheetData>
    <row r="1" ht="30" customHeight="1" spans="1:8" x14ac:dyDescent="0.25">
      <c r="A1" s="1" t="s">
        <v>734</v>
      </c>
      <c r="B1" s="2"/>
      <c r="C1" s="2"/>
      <c r="D1" s="2"/>
      <c r="E1" s="2"/>
      <c r="F1" s="2"/>
      <c r="G1" s="2"/>
      <c r="H1" s="2"/>
    </row>
    <row r="2" ht="24" customHeight="1" spans="1:8" x14ac:dyDescent="0.25">
      <c r="A2" s="10" t="s">
        <v>480</v>
      </c>
      <c r="B2" s="11" t="s">
        <v>463</v>
      </c>
      <c r="C2" s="10" t="s">
        <v>190</v>
      </c>
      <c r="D2" s="10" t="s">
        <v>464</v>
      </c>
      <c r="E2" s="10" t="s">
        <v>133</v>
      </c>
      <c r="F2" s="10" t="s">
        <v>735</v>
      </c>
      <c r="G2" s="10" t="s">
        <v>736</v>
      </c>
      <c r="H2" s="10" t="s">
        <v>473</v>
      </c>
    </row>
    <row r="3" ht="20" customHeight="1" spans="1:8" x14ac:dyDescent="0.25">
      <c r="A3" s="20" t="s">
        <v>161</v>
      </c>
      <c r="B3" s="30" t="s">
        <v>1</v>
      </c>
      <c r="C3" s="20" t="s">
        <v>1</v>
      </c>
      <c r="D3" s="20" t="s">
        <v>1</v>
      </c>
      <c r="E3" s="26" t="s">
        <v>737</v>
      </c>
      <c r="F3" s="26" t="s">
        <v>1</v>
      </c>
      <c r="G3" s="26" t="s">
        <v>738</v>
      </c>
      <c r="H3" s="26" t="s">
        <v>1</v>
      </c>
    </row>
  </sheetData>
  <pageMargins left="0.35" right="0.35" top="0.55" bottom="0.55" header="0.2" footer="0.2"/>
  <pageSetup orientation="landscape" horizontalDpi="4294967295" verticalDpi="4294967295" scale="100" fitToWidth="1" fitToHeight="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pageSetUpPr fitToPage="1"/>
  </sheetPr>
  <dimension ref="A1:G17"/>
  <sheetViews>
    <sheetView workbookViewId="0" showGridLines="0"/>
  </sheetViews>
  <sheetFormatPr defaultRowHeight="20" outlineLevelRow="0" outlineLevelCol="0" x14ac:dyDescent="55" customHeight="1"/>
  <cols>
    <col min="1" max="1" width="22" customWidth="1"/>
    <col min="2" max="2" width="6" customWidth="1"/>
    <col min="3" max="3" width="12" customWidth="1"/>
    <col min="4" max="4" width="10" customWidth="1"/>
    <col min="5" max="5" width="13" customWidth="1"/>
    <col min="6" max="6" width="12" customWidth="1"/>
    <col min="7" max="7" width="36" customWidth="1"/>
  </cols>
  <sheetData>
    <row r="1" ht="30" customHeight="1" spans="1:7" x14ac:dyDescent="0.25">
      <c r="A1" s="1" t="s">
        <v>739</v>
      </c>
      <c r="B1" s="2"/>
      <c r="C1" s="2"/>
      <c r="D1" s="2"/>
      <c r="E1" s="2"/>
      <c r="F1" s="2"/>
      <c r="G1" s="2"/>
    </row>
    <row r="2" ht="7" customHeight="1" spans="1:7" x14ac:dyDescent="0.25">
      <c r="A2" t="s">
        <v>1</v>
      </c>
      <c r="B2" t="s">
        <v>1</v>
      </c>
      <c r="C2" t="s">
        <v>1</v>
      </c>
      <c r="D2" t="s">
        <v>1</v>
      </c>
      <c r="E2" t="s">
        <v>1</v>
      </c>
      <c r="F2" t="s">
        <v>1</v>
      </c>
      <c r="G2" t="s">
        <v>1</v>
      </c>
    </row>
    <row r="3" ht="24" customHeight="1" spans="1:7" x14ac:dyDescent="0.25">
      <c r="A3" s="10" t="s">
        <v>480</v>
      </c>
      <c r="B3" s="11" t="s">
        <v>740</v>
      </c>
      <c r="C3" s="10" t="s">
        <v>351</v>
      </c>
      <c r="D3" s="17" t="s">
        <v>191</v>
      </c>
      <c r="E3" s="17" t="s">
        <v>741</v>
      </c>
      <c r="F3" s="10" t="s">
        <v>742</v>
      </c>
      <c r="G3" s="10" t="s">
        <v>474</v>
      </c>
    </row>
    <row r="4" ht="20" customHeight="1" spans="1:7" x14ac:dyDescent="0.25">
      <c r="A4" s="26" t="s">
        <v>743</v>
      </c>
      <c r="B4" s="19">
        <v>1</v>
      </c>
      <c r="C4" s="24">
        <v>46418</v>
      </c>
      <c r="D4" s="27">
        <v>104</v>
      </c>
      <c r="E4" s="27" t="s">
        <v>1</v>
      </c>
      <c r="F4" s="20" t="s">
        <v>1</v>
      </c>
      <c r="G4" s="26" t="s">
        <v>744</v>
      </c>
    </row>
    <row r="5" ht="20" customHeight="1" spans="1:7" x14ac:dyDescent="0.25">
      <c r="A5" s="4" t="s">
        <v>743</v>
      </c>
      <c r="B5" s="22">
        <v>2</v>
      </c>
      <c r="C5" s="23">
        <v>46783</v>
      </c>
      <c r="D5" s="18">
        <v>107.2</v>
      </c>
      <c r="E5" s="18" t="s">
        <v>1</v>
      </c>
      <c r="F5" s="12" t="s">
        <v>1</v>
      </c>
      <c r="G5" s="4" t="s">
        <v>744</v>
      </c>
    </row>
    <row r="6" ht="20" customHeight="1" spans="1:7" x14ac:dyDescent="0.25">
      <c r="A6" s="26" t="s">
        <v>743</v>
      </c>
      <c r="B6" s="19">
        <v>3</v>
      </c>
      <c r="C6" s="24">
        <v>47149</v>
      </c>
      <c r="D6" s="27">
        <v>110.5</v>
      </c>
      <c r="E6" s="27" t="s">
        <v>1</v>
      </c>
      <c r="F6" s="20" t="s">
        <v>1</v>
      </c>
      <c r="G6" s="26" t="s">
        <v>744</v>
      </c>
    </row>
    <row r="7" ht="20" customHeight="1" spans="1:7" x14ac:dyDescent="0.25">
      <c r="A7" s="4" t="s">
        <v>745</v>
      </c>
      <c r="B7" s="22">
        <v>1</v>
      </c>
      <c r="C7" s="23">
        <v>46023</v>
      </c>
      <c r="D7" s="18">
        <v>100</v>
      </c>
      <c r="E7" s="18" t="s">
        <v>1</v>
      </c>
      <c r="F7" s="12" t="s">
        <v>1</v>
      </c>
      <c r="G7" s="4" t="s">
        <v>746</v>
      </c>
    </row>
    <row r="8" ht="20" customHeight="1" spans="1:7" x14ac:dyDescent="0.25">
      <c r="A8" s="26" t="s">
        <v>745</v>
      </c>
      <c r="B8" s="19">
        <v>2</v>
      </c>
      <c r="C8" s="24">
        <v>46418</v>
      </c>
      <c r="D8" s="27">
        <v>104</v>
      </c>
      <c r="E8" s="27" t="s">
        <v>1</v>
      </c>
      <c r="F8" s="20" t="s">
        <v>1</v>
      </c>
      <c r="G8" s="26" t="s">
        <v>746</v>
      </c>
    </row>
    <row r="9" ht="20" customHeight="1" spans="1:7" x14ac:dyDescent="0.25">
      <c r="A9" s="4" t="s">
        <v>745</v>
      </c>
      <c r="B9" s="22">
        <v>3</v>
      </c>
      <c r="C9" s="23">
        <v>46783</v>
      </c>
      <c r="D9" s="18">
        <v>107.2</v>
      </c>
      <c r="E9" s="18" t="s">
        <v>1</v>
      </c>
      <c r="F9" s="12" t="s">
        <v>1</v>
      </c>
      <c r="G9" s="4" t="s">
        <v>746</v>
      </c>
    </row>
    <row r="10" ht="20" customHeight="1" spans="1:7" x14ac:dyDescent="0.25">
      <c r="A10" s="26" t="s">
        <v>745</v>
      </c>
      <c r="B10" s="19">
        <v>4</v>
      </c>
      <c r="C10" s="24">
        <v>47149</v>
      </c>
      <c r="D10" s="27">
        <v>110.5</v>
      </c>
      <c r="E10" s="27" t="s">
        <v>1</v>
      </c>
      <c r="F10" s="20" t="s">
        <v>1</v>
      </c>
      <c r="G10" s="26" t="s">
        <v>746</v>
      </c>
    </row>
    <row r="11" ht="20" customHeight="1" spans="1:7" x14ac:dyDescent="0.25">
      <c r="A11" s="4" t="s">
        <v>164</v>
      </c>
      <c r="B11" s="22">
        <v>1</v>
      </c>
      <c r="C11" s="23">
        <v>46418</v>
      </c>
      <c r="D11" s="18">
        <v>104</v>
      </c>
      <c r="E11" s="18" t="s">
        <v>1</v>
      </c>
      <c r="F11" s="12" t="s">
        <v>1</v>
      </c>
      <c r="G11" s="4" t="s">
        <v>747</v>
      </c>
    </row>
    <row r="12" ht="20" customHeight="1" spans="1:7" x14ac:dyDescent="0.25">
      <c r="A12" s="26" t="s">
        <v>164</v>
      </c>
      <c r="B12" s="19">
        <v>2</v>
      </c>
      <c r="C12" s="24">
        <v>46783</v>
      </c>
      <c r="D12" s="27">
        <v>107.2</v>
      </c>
      <c r="E12" s="27" t="s">
        <v>1</v>
      </c>
      <c r="F12" s="20" t="s">
        <v>1</v>
      </c>
      <c r="G12" s="26" t="s">
        <v>747</v>
      </c>
    </row>
    <row r="13" ht="20" customHeight="1" spans="1:7" x14ac:dyDescent="0.25">
      <c r="A13" s="4" t="s">
        <v>164</v>
      </c>
      <c r="B13" s="22">
        <v>3</v>
      </c>
      <c r="C13" s="23">
        <v>47149</v>
      </c>
      <c r="D13" s="18">
        <v>110.5</v>
      </c>
      <c r="E13" s="18" t="s">
        <v>1</v>
      </c>
      <c r="F13" s="12" t="s">
        <v>1</v>
      </c>
      <c r="G13" s="4" t="s">
        <v>747</v>
      </c>
    </row>
    <row r="14" ht="20" customHeight="1" spans="1:7" x14ac:dyDescent="0.25">
      <c r="A14" s="26" t="s">
        <v>748</v>
      </c>
      <c r="B14" s="19">
        <v>1</v>
      </c>
      <c r="C14" s="24">
        <v>46023</v>
      </c>
      <c r="D14" s="27">
        <v>100</v>
      </c>
      <c r="E14" s="27">
        <v>1</v>
      </c>
      <c r="F14" s="20" t="s">
        <v>1</v>
      </c>
      <c r="G14" s="26" t="s">
        <v>749</v>
      </c>
    </row>
    <row r="15" ht="20" customHeight="1" spans="1:7" x14ac:dyDescent="0.25">
      <c r="A15" s="4" t="s">
        <v>748</v>
      </c>
      <c r="B15" s="22">
        <v>2</v>
      </c>
      <c r="C15" s="23">
        <v>46418</v>
      </c>
      <c r="D15" s="18">
        <v>104</v>
      </c>
      <c r="E15" s="18">
        <v>13</v>
      </c>
      <c r="F15" s="12" t="s">
        <v>1</v>
      </c>
      <c r="G15" s="4" t="s">
        <v>749</v>
      </c>
    </row>
    <row r="16" ht="20" customHeight="1" spans="1:7" x14ac:dyDescent="0.25">
      <c r="A16" s="26" t="s">
        <v>748</v>
      </c>
      <c r="B16" s="19">
        <v>3</v>
      </c>
      <c r="C16" s="24">
        <v>46783</v>
      </c>
      <c r="D16" s="27">
        <v>107.2</v>
      </c>
      <c r="E16" s="27">
        <v>25</v>
      </c>
      <c r="F16" s="20" t="s">
        <v>1</v>
      </c>
      <c r="G16" s="26" t="s">
        <v>749</v>
      </c>
    </row>
    <row r="17" ht="20" customHeight="1" spans="1:7" x14ac:dyDescent="0.25">
      <c r="A17" s="4" t="s">
        <v>748</v>
      </c>
      <c r="B17" s="22">
        <v>4</v>
      </c>
      <c r="C17" s="23">
        <v>47149</v>
      </c>
      <c r="D17" s="18">
        <v>110.5</v>
      </c>
      <c r="E17" s="18">
        <v>37</v>
      </c>
      <c r="F17" s="12" t="s">
        <v>1</v>
      </c>
      <c r="G17" s="4" t="s">
        <v>749</v>
      </c>
    </row>
  </sheetData>
  <pageMargins left="0.35" right="0.35" top="0.55" bottom="0.55" header="0.2" footer="0.2"/>
  <pageSetup orientation="landscape" horizontalDpi="4294967295" verticalDpi="4294967295" scale="100" fitToWidth="1" fitToHeight="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7280"/>
    <pageSetUpPr fitToPage="1"/>
  </sheetPr>
  <dimension ref="A1:A38"/>
  <sheetViews>
    <sheetView workbookViewId="0" showGridLines="0"/>
  </sheetViews>
  <sheetFormatPr defaultRowHeight="20" outlineLevelRow="0" outlineLevelCol="0" x14ac:dyDescent="55" customHeight="1"/>
  <cols>
    <col min="1" max="1" width="112" customWidth="1"/>
  </cols>
  <sheetData>
    <row r="1" ht="30" customHeight="1" spans="1:1" x14ac:dyDescent="0.25">
      <c r="A1" s="1" t="s">
        <v>750</v>
      </c>
    </row>
    <row r="2" ht="7" customHeight="1" spans="1:1" x14ac:dyDescent="0.25">
      <c r="A2" t="s">
        <v>1</v>
      </c>
    </row>
    <row r="3" ht="20" customHeight="1" spans="1:1" x14ac:dyDescent="0.25">
      <c r="A3" s="3" t="s">
        <v>751</v>
      </c>
    </row>
    <row r="4" ht="20" customHeight="1" spans="1:1" x14ac:dyDescent="0.25">
      <c r="A4" s="3" t="s">
        <v>752</v>
      </c>
    </row>
    <row r="5" ht="20" customHeight="1" spans="1:1" x14ac:dyDescent="0.25">
      <c r="A5" s="3" t="s">
        <v>753</v>
      </c>
    </row>
    <row r="6" ht="7" customHeight="1" spans="1:1" x14ac:dyDescent="0.25">
      <c r="A6" t="s">
        <v>1</v>
      </c>
    </row>
    <row r="7" ht="20" customHeight="1" spans="1:1" x14ac:dyDescent="0.25">
      <c r="A7" s="3" t="s">
        <v>754</v>
      </c>
    </row>
    <row r="8" ht="20" customHeight="1" spans="1:1" x14ac:dyDescent="0.25">
      <c r="A8" s="3" t="s">
        <v>755</v>
      </c>
    </row>
    <row r="9" ht="20" customHeight="1" spans="1:1" x14ac:dyDescent="0.25">
      <c r="A9" s="3" t="s">
        <v>756</v>
      </c>
    </row>
    <row r="10" ht="7" customHeight="1" spans="1:1" x14ac:dyDescent="0.25">
      <c r="A10" t="s">
        <v>1</v>
      </c>
    </row>
    <row r="11" ht="20" customHeight="1" spans="1:1" x14ac:dyDescent="0.25">
      <c r="A11" s="3" t="s">
        <v>757</v>
      </c>
    </row>
    <row r="12" ht="20" customHeight="1" spans="1:1" x14ac:dyDescent="0.25">
      <c r="A12" s="3" t="s">
        <v>758</v>
      </c>
    </row>
    <row r="13" ht="20" customHeight="1" spans="1:1" x14ac:dyDescent="0.25">
      <c r="A13" s="3" t="s">
        <v>759</v>
      </c>
    </row>
    <row r="14" ht="7" customHeight="1" spans="1:1" x14ac:dyDescent="0.25">
      <c r="A14" t="s">
        <v>1</v>
      </c>
    </row>
    <row r="15" ht="20" customHeight="1" spans="1:1" x14ac:dyDescent="0.25">
      <c r="A15" s="3" t="s">
        <v>760</v>
      </c>
    </row>
    <row r="16" ht="20" customHeight="1" spans="1:1" x14ac:dyDescent="0.25">
      <c r="A16" s="3" t="s">
        <v>761</v>
      </c>
    </row>
    <row r="17" ht="20" customHeight="1" spans="1:1" x14ac:dyDescent="0.25">
      <c r="A17" s="3" t="s">
        <v>762</v>
      </c>
    </row>
    <row r="18" ht="7" customHeight="1" spans="1:1" x14ac:dyDescent="0.25">
      <c r="A18" t="s">
        <v>1</v>
      </c>
    </row>
    <row r="19" ht="20" customHeight="1" spans="1:1" x14ac:dyDescent="0.25">
      <c r="A19" s="3" t="s">
        <v>763</v>
      </c>
    </row>
    <row r="20" ht="20" customHeight="1" spans="1:1" x14ac:dyDescent="0.25">
      <c r="A20" s="3" t="s">
        <v>764</v>
      </c>
    </row>
    <row r="21" ht="20" customHeight="1" spans="1:1" x14ac:dyDescent="0.25">
      <c r="A21" s="3" t="s">
        <v>765</v>
      </c>
    </row>
    <row r="22" ht="20" customHeight="1" spans="1:1" x14ac:dyDescent="0.25">
      <c r="A22" s="3" t="s">
        <v>766</v>
      </c>
    </row>
    <row r="23" ht="7" customHeight="1" spans="1:1" x14ac:dyDescent="0.25">
      <c r="A23" t="s">
        <v>1</v>
      </c>
    </row>
    <row r="24" ht="20" customHeight="1" spans="1:1" x14ac:dyDescent="0.25">
      <c r="A24" s="3" t="s">
        <v>767</v>
      </c>
    </row>
    <row r="25" ht="7" customHeight="1" spans="1:1" x14ac:dyDescent="0.25">
      <c r="A25" t="s">
        <v>1</v>
      </c>
    </row>
    <row r="26" ht="20" customHeight="1" spans="1:1" x14ac:dyDescent="0.25">
      <c r="A26" s="3" t="s">
        <v>768</v>
      </c>
    </row>
    <row r="27" ht="20" customHeight="1" spans="1:1" x14ac:dyDescent="0.25">
      <c r="A27" s="3" t="s">
        <v>769</v>
      </c>
    </row>
    <row r="28" ht="20" customHeight="1" spans="1:1" x14ac:dyDescent="0.25">
      <c r="A28" s="3" t="s">
        <v>770</v>
      </c>
    </row>
    <row r="29" ht="7" customHeight="1" spans="1:1" x14ac:dyDescent="0.25">
      <c r="A29" t="s">
        <v>1</v>
      </c>
    </row>
    <row r="30" ht="20" customHeight="1" spans="1:1" x14ac:dyDescent="0.25">
      <c r="A30" s="3" t="s">
        <v>771</v>
      </c>
    </row>
    <row r="31" ht="20" customHeight="1" spans="1:1" x14ac:dyDescent="0.25">
      <c r="A31" s="3" t="s">
        <v>772</v>
      </c>
    </row>
    <row r="32" ht="20" customHeight="1" spans="1:1" x14ac:dyDescent="0.25">
      <c r="A32" s="3" t="s">
        <v>773</v>
      </c>
    </row>
    <row r="33" ht="20" customHeight="1" spans="1:1" x14ac:dyDescent="0.25">
      <c r="A33" s="3" t="s">
        <v>774</v>
      </c>
    </row>
    <row r="34" ht="7" customHeight="1" spans="1:1" x14ac:dyDescent="0.25">
      <c r="A34" t="s">
        <v>1</v>
      </c>
    </row>
    <row r="35" ht="20" customHeight="1" spans="1:1" x14ac:dyDescent="0.25">
      <c r="A35" s="3" t="s">
        <v>775</v>
      </c>
    </row>
    <row r="36" ht="20" customHeight="1" spans="1:1" x14ac:dyDescent="0.25">
      <c r="A36" s="3" t="s">
        <v>776</v>
      </c>
    </row>
    <row r="37" ht="7" customHeight="1" spans="1:1" x14ac:dyDescent="0.25">
      <c r="A37" t="s">
        <v>1</v>
      </c>
    </row>
    <row r="38" ht="20" customHeight="1" spans="1:1" x14ac:dyDescent="0.25">
      <c r="A38" s="3" t="s">
        <v>777</v>
      </c>
    </row>
  </sheetData>
  <pageMargins left="0.35" right="0.35" top="0.55" bottom="0.55" header="0.2" footer="0.2"/>
  <pageSetup orientation="landscape" horizontalDpi="4294967295" verticalDpi="4294967295" scale="100"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Read Me</vt:lpstr>
      <vt:lpstr>Audit Summary</vt:lpstr>
      <vt:lpstr>Action List</vt:lpstr>
      <vt:lpstr>Inputs</vt:lpstr>
      <vt:lpstr>CPI</vt:lpstr>
      <vt:lpstr>Liability</vt:lpstr>
      <vt:lpstr>Interest Walkthrough</vt:lpstr>
      <vt:lpstr>ROU</vt:lpstr>
      <vt:lpstr>Depreciation Walkthrough</vt:lpstr>
      <vt:lpstr>Journal</vt:lpstr>
      <vt:lpstr>PerMod_Reconciliations</vt:lpstr>
      <vt:lpstr>Explain</vt:lpstr>
      <vt:lpstr>Checks</vt:lpstr>
      <vt:lpstr>Exceptions</vt:lpstr>
      <vt:lpstr>Control Register</vt:lpstr>
      <vt:lpstr>Control Evidence</vt:lpstr>
      <vt:lpstr>Control Evidence Detail</vt:lpstr>
      <vt:lpstr>Run Metadata</vt:lpstr>
      <vt:lpstr>Modification Trace</vt:lpstr>
      <vt:lpstr>CPI Event Trace</vt:lpstr>
      <vt:lpstr>Disclaimer</vt:lpstr>
    </vt:vector>
  </TitlesOfParts>
  <Company>IFRS Connect</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IFRS Connect</dc:creator>
  <dc:title>Example Entity Ltd - Head Office Lease_All_Schedules.xlsx</dc:title>
  <dc:subject>IFRS 16 Lease Export</dc:subject>
  <dc:description/>
  <cp:keywords>IFRS 16, lease accounting, export</cp:keywords>
  <cp:category/>
  <cp:lastModifiedBy>IFRS Connect</cp:lastModifiedBy>
  <dcterms:created xsi:type="dcterms:W3CDTF">2026-06-12T12:00:00Z</dcterms:created>
  <dcterms:modified xsi:type="dcterms:W3CDTF">2026-06-12T12:00:00Z</dcterms:modified>
</cp:coreProperties>
</file>